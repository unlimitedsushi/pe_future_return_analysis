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erenalee/Documents/GitHub/pe_future_return_analysis/"/>
    </mc:Choice>
  </mc:AlternateContent>
  <xr:revisionPtr revIDLastSave="0" documentId="13_ncr:1_{13B5B6D6-81CF-004F-8BED-08A5E1F80806}" xr6:coauthVersionLast="47" xr6:coauthVersionMax="47" xr10:uidLastSave="{00000000-0000-0000-0000-000000000000}"/>
  <bookViews>
    <workbookView xWindow="160" yWindow="660" windowWidth="15380" windowHeight="15700" activeTab="1" xr2:uid="{00000000-000D-0000-FFFF-FFFF00000000}"/>
  </bookViews>
  <sheets>
    <sheet name="Data Table" sheetId="1" r:id="rId1"/>
    <sheet name="PE Ratio below 15" sheetId="2" r:id="rId2"/>
  </sheets>
  <definedNames>
    <definedName name="_xlchart.v1.0" hidden="1">'PE Ratio below 15'!$B$3:$B$501</definedName>
    <definedName name="_xlchart.v1.1" hidden="1">'PE Ratio below 15'!$C$1:$C$2</definedName>
    <definedName name="_xlchart.v1.10" hidden="1">'PE Ratio below 15'!$D$1:$D$2</definedName>
    <definedName name="_xlchart.v1.11" hidden="1">'PE Ratio below 15'!$D$3:$D$501</definedName>
    <definedName name="_xlchart.v1.12" hidden="1">'PE Ratio below 15'!$E$1:$E$2</definedName>
    <definedName name="_xlchart.v1.13" hidden="1">'PE Ratio below 15'!$E$3:$E$501</definedName>
    <definedName name="_xlchart.v1.14" hidden="1">'PE Ratio below 15'!$B$3:$B$501</definedName>
    <definedName name="_xlchart.v1.15" hidden="1">'PE Ratio below 15'!$C$1:$C$2</definedName>
    <definedName name="_xlchart.v1.16" hidden="1">'PE Ratio below 15'!$C$3:$C$501</definedName>
    <definedName name="_xlchart.v1.17" hidden="1">'PE Ratio below 15'!$D$1:$D$2</definedName>
    <definedName name="_xlchart.v1.18" hidden="1">'PE Ratio below 15'!$D$3:$D$501</definedName>
    <definedName name="_xlchart.v1.19" hidden="1">'PE Ratio below 15'!$E$1:$E$2</definedName>
    <definedName name="_xlchart.v1.2" hidden="1">'PE Ratio below 15'!$C$3:$C$501</definedName>
    <definedName name="_xlchart.v1.20" hidden="1">'PE Ratio below 15'!$E$3:$E$501</definedName>
    <definedName name="_xlchart.v1.21" hidden="1">'PE Ratio below 15'!$B$3:$B$501</definedName>
    <definedName name="_xlchart.v1.22" hidden="1">'PE Ratio below 15'!$C$1:$C$2</definedName>
    <definedName name="_xlchart.v1.23" hidden="1">'PE Ratio below 15'!$C$3:$C$501</definedName>
    <definedName name="_xlchart.v1.24" hidden="1">'PE Ratio below 15'!$D$1:$D$2</definedName>
    <definedName name="_xlchart.v1.25" hidden="1">'PE Ratio below 15'!$D$3:$D$501</definedName>
    <definedName name="_xlchart.v1.26" hidden="1">'PE Ratio below 15'!$E$1:$E$2</definedName>
    <definedName name="_xlchart.v1.27" hidden="1">'PE Ratio below 15'!$E$3:$E$501</definedName>
    <definedName name="_xlchart.v1.28" hidden="1">'PE Ratio below 15'!$B$3:$B$501</definedName>
    <definedName name="_xlchart.v1.29" hidden="1">'PE Ratio below 15'!$C$1:$C$2</definedName>
    <definedName name="_xlchart.v1.3" hidden="1">'PE Ratio below 15'!$D$1:$D$2</definedName>
    <definedName name="_xlchart.v1.30" hidden="1">'PE Ratio below 15'!$C$3:$C$501</definedName>
    <definedName name="_xlchart.v1.31" hidden="1">'PE Ratio below 15'!$D$1:$D$2</definedName>
    <definedName name="_xlchart.v1.32" hidden="1">'PE Ratio below 15'!$D$3:$D$501</definedName>
    <definedName name="_xlchart.v1.33" hidden="1">'PE Ratio below 15'!$E$1:$E$2</definedName>
    <definedName name="_xlchart.v1.34" hidden="1">'PE Ratio below 15'!$E$3:$E$501</definedName>
    <definedName name="_xlchart.v1.4" hidden="1">'PE Ratio below 15'!$D$3:$D$501</definedName>
    <definedName name="_xlchart.v1.5" hidden="1">'PE Ratio below 15'!$E$1:$E$2</definedName>
    <definedName name="_xlchart.v1.6" hidden="1">'PE Ratio below 15'!$E$3:$E$501</definedName>
    <definedName name="_xlchart.v1.7" hidden="1">'PE Ratio below 15'!$B$3:$B$501</definedName>
    <definedName name="_xlchart.v1.8" hidden="1">'PE Ratio below 15'!$C$1:$C$2</definedName>
    <definedName name="_xlchart.v1.9" hidden="1">'PE Ratio below 15'!$C$3:$C$501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B3" i="2" s="1" a="1"/>
  <c r="B3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T3" i="2" s="1" a="1"/>
  <c r="T3" i="2" s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AR3" i="2" a="1"/>
  <c r="AR3" i="2" s="1"/>
  <c r="H3" i="2" l="1" a="1"/>
  <c r="H3" i="2" s="1"/>
  <c r="N3" i="2" a="1"/>
  <c r="N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<sst xmlns="http://schemas.openxmlformats.org/spreadsheetml/2006/main" count="4026" uniqueCount="512">
  <si>
    <t>quarter_date</t>
  </si>
  <si>
    <t>company</t>
  </si>
  <si>
    <t>pe_ratio</t>
  </si>
  <si>
    <t>price</t>
  </si>
  <si>
    <t>price_lag</t>
  </si>
  <si>
    <t>2025-09-30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</si>
  <si>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</si>
  <si>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</si>
  <si>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</si>
  <si>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</si>
  <si>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</si>
  <si>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</si>
  <si>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</si>
  <si>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</si>
  <si>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</si>
  <si>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</si>
  <si>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</si>
  <si>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</si>
  <si>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</si>
  <si>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</si>
  <si>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</si>
  <si>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</si>
  <si>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</si>
  <si>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</si>
  <si>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</si>
  <si>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</si>
  <si>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</si>
  <si>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</si>
  <si>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</si>
  <si>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</si>
  <si>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</si>
  <si>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</si>
  <si>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</si>
  <si>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</si>
  <si>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</si>
  <si>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</si>
  <si>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</si>
  <si>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</si>
  <si>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</si>
  <si>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</si>
  <si>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</si>
  <si>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</si>
  <si>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</si>
  <si>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</si>
  <si>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</si>
  <si>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</si>
  <si>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APTV</t>
  </si>
  <si>
    <t>ACGL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</si>
  <si>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</si>
  <si>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</si>
  <si>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</si>
  <si>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</si>
  <si>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</si>
  <si>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</si>
  <si>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</si>
  <si>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</si>
  <si>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</si>
  <si>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</si>
  <si>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</si>
  <si>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</si>
  <si>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</si>
  <si>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</si>
  <si>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</si>
  <si>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</si>
  <si>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</si>
  <si>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BRK-B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</si>
  <si>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</si>
  <si>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</si>
  <si>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</si>
  <si>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</si>
  <si>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</si>
  <si>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</si>
  <si>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</si>
  <si>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</si>
  <si>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</si>
  <si>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</si>
  <si>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</si>
  <si>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</si>
  <si>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</si>
  <si>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</si>
  <si>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BF-B</t>
  </si>
  <si>
    <t>BLDR</t>
  </si>
  <si>
    <t>BG</t>
  </si>
  <si>
    <t>BXP</t>
  </si>
  <si>
    <t>CHRW</t>
  </si>
  <si>
    <t>CDNS</t>
  </si>
  <si>
    <t>CZR</t>
  </si>
  <si>
    <t>CPT</t>
  </si>
  <si>
    <t>CPB</t>
  </si>
  <si>
    <t>COF</t>
  </si>
  <si>
    <t>CAH</t>
  </si>
  <si>
    <t>KMX</t>
  </si>
  <si>
    <t>CCL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</si>
  <si>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</si>
  <si>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</si>
  <si>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</si>
  <si>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</si>
  <si>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</si>
  <si>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</si>
  <si>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</si>
  <si>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</si>
  <si>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</si>
  <si>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</si>
  <si>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</si>
  <si>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</si>
  <si>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</si>
  <si>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</si>
  <si>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</si>
  <si>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</si>
  <si>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</si>
  <si>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</si>
  <si>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</si>
  <si>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</si>
  <si>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</si>
  <si>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</si>
  <si>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</si>
  <si>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</si>
  <si>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</si>
  <si>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</si>
  <si>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</si>
  <si>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</si>
  <si>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</si>
  <si>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</si>
  <si>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</si>
  <si>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</si>
  <si>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</si>
  <si>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</si>
  <si>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</si>
  <si>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</si>
  <si>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</si>
  <si>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</si>
  <si>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</si>
  <si>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</si>
  <si>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</si>
  <si>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</si>
  <si>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</si>
  <si>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</si>
  <si>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</si>
  <si>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</si>
  <si>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</si>
  <si>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</si>
  <si>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</si>
  <si>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</si>
  <si>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</si>
  <si>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</si>
  <si>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DAY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</si>
  <si>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</si>
  <si>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</si>
  <si>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</si>
  <si>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</si>
  <si>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</si>
  <si>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</si>
  <si>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</si>
  <si>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</si>
  <si>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</si>
  <si>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</si>
  <si>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</si>
  <si>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</si>
  <si>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</si>
  <si>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</si>
  <si>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</si>
  <si>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</si>
  <si>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</si>
  <si>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</si>
  <si>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</si>
  <si>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</si>
  <si>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</si>
  <si>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</si>
  <si>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</si>
  <si>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</si>
  <si>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</si>
  <si>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EA</t>
  </si>
  <si>
    <t>ELV</t>
  </si>
  <si>
    <t>EMR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</si>
  <si>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</si>
  <si>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</si>
  <si>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</si>
  <si>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</si>
  <si>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</si>
  <si>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</si>
  <si>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</si>
  <si>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</si>
  <si>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</si>
  <si>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</si>
  <si>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</si>
  <si>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</si>
  <si>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</si>
  <si>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</si>
  <si>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</si>
  <si>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</si>
  <si>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</si>
  <si>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</si>
  <si>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</si>
  <si>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</si>
  <si>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</si>
  <si>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</si>
  <si>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</si>
  <si>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</si>
  <si>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</si>
  <si>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</si>
  <si>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</si>
  <si>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</si>
  <si>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</si>
  <si>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</si>
  <si>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</si>
  <si>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</si>
  <si>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</si>
  <si>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</si>
  <si>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</si>
  <si>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</si>
  <si>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</si>
  <si>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</si>
  <si>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</si>
  <si>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</si>
  <si>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</si>
  <si>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</si>
  <si>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</si>
  <si>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</si>
  <si>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</si>
  <si>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</si>
  <si>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</si>
  <si>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</si>
  <si>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</si>
  <si>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</si>
  <si>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</si>
  <si>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</si>
  <si>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</si>
  <si>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</si>
  <si>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</si>
  <si>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</si>
  <si>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</si>
  <si>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</si>
  <si>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</si>
  <si>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</si>
  <si>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</si>
  <si>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</si>
  <si>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</si>
  <si>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</si>
  <si>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</si>
  <si>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</si>
  <si>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</si>
  <si>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</si>
  <si>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</si>
  <si>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</si>
  <si>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</si>
  <si>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</si>
  <si>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</si>
  <si>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</si>
  <si>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</si>
  <si>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</si>
  <si>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</si>
  <si>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</si>
  <si>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</si>
  <si>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</si>
  <si>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</si>
  <si>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</si>
  <si>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</si>
  <si>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</si>
  <si>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</si>
  <si>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</si>
  <si>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</si>
  <si>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</si>
  <si>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</si>
  <si>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</si>
  <si>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</si>
  <si>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</si>
  <si>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</si>
  <si>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</si>
  <si>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</si>
  <si>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</si>
  <si>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</si>
  <si>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</si>
  <si>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</si>
  <si>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</si>
  <si>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</si>
  <si>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</si>
  <si>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</si>
  <si>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</si>
  <si>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</si>
  <si>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</si>
  <si>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</si>
  <si>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</si>
  <si>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</si>
  <si>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</si>
  <si>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</si>
  <si>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</si>
  <si>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</si>
  <si>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</si>
  <si>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</si>
  <si>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</si>
  <si>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</si>
  <si>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</si>
  <si>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</si>
  <si>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</si>
  <si>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LKQ</t>
  </si>
  <si>
    <t>LMT</t>
  </si>
  <si>
    <t>L</t>
  </si>
  <si>
    <t>LOW</t>
  </si>
  <si>
    <t>LULU</t>
  </si>
  <si>
    <t>LYB</t>
  </si>
  <si>
    <t>MTB</t>
  </si>
  <si>
    <t>MPC</t>
  </si>
  <si>
    <t>MKTX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</si>
  <si>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</si>
  <si>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</si>
  <si>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</si>
  <si>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</si>
  <si>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</si>
  <si>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</si>
  <si>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</si>
  <si>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</si>
  <si>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</si>
  <si>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</si>
  <si>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</si>
  <si>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</si>
  <si>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</si>
  <si>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</si>
  <si>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</si>
  <si>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</si>
  <si>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</si>
  <si>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</si>
  <si>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</si>
  <si>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</si>
  <si>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MHK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</si>
  <si>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</si>
  <si>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</si>
  <si>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</si>
  <si>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</si>
  <si>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</si>
  <si>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</si>
  <si>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</si>
  <si>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</si>
  <si>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</si>
  <si>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</si>
  <si>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</si>
  <si>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</si>
  <si>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</si>
  <si>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</si>
  <si>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</si>
  <si>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</si>
  <si>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</si>
  <si>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</si>
  <si>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</si>
  <si>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</si>
  <si>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</si>
  <si>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</si>
  <si>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</si>
  <si>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</si>
  <si>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</si>
  <si>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</si>
  <si>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</si>
  <si>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</si>
  <si>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</si>
  <si>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</si>
  <si>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</si>
  <si>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</si>
  <si>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</si>
  <si>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</si>
  <si>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</si>
  <si>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</si>
  <si>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</si>
  <si>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</si>
  <si>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</si>
  <si>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</si>
  <si>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</si>
  <si>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</si>
  <si>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</si>
  <si>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</si>
  <si>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</si>
  <si>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</si>
  <si>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</si>
  <si>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</si>
  <si>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</si>
  <si>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</si>
  <si>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</si>
  <si>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</si>
  <si>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</si>
  <si>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</si>
  <si>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</si>
  <si>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</si>
  <si>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</si>
  <si>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</si>
  <si>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</si>
  <si>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</si>
  <si>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</si>
  <si>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</si>
  <si>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</si>
  <si>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</si>
  <si>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</si>
  <si>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</si>
  <si>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</si>
  <si>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</si>
  <si>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</si>
  <si>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</si>
  <si>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</si>
  <si>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</si>
  <si>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</si>
  <si>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</si>
  <si>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</si>
  <si>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</si>
  <si>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</si>
  <si>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</si>
  <si>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</si>
  <si>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</si>
  <si>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</si>
  <si>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</si>
  <si>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</si>
  <si>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</si>
  <si>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</si>
  <si>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</si>
  <si>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</si>
  <si>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</si>
  <si>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</si>
  <si>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</si>
  <si>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</si>
  <si>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</si>
  <si>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</si>
  <si>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</si>
  <si>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</si>
  <si>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</si>
  <si>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</si>
  <si>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</si>
  <si>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</si>
  <si>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</si>
  <si>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</si>
  <si>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</si>
  <si>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</si>
  <si>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</si>
  <si>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</si>
  <si>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</si>
  <si>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</si>
  <si>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</si>
  <si>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</si>
  <si>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</si>
  <si>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</si>
  <si>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</si>
  <si>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</si>
  <si>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</si>
  <si>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</si>
  <si>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</si>
  <si>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</si>
  <si>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</si>
  <si>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</si>
  <si>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</si>
  <si>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</si>
  <si>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</si>
  <si>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</si>
  <si>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</si>
  <si>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</si>
  <si>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</si>
  <si>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</si>
  <si>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</si>
  <si>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</si>
  <si>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</si>
  <si>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</si>
  <si>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</si>
  <si>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</si>
  <si>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</si>
  <si>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</si>
  <si>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</si>
  <si>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</si>
  <si>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</si>
  <si>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</si>
  <si>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</si>
  <si>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</si>
  <si>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</si>
  <si>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</si>
  <si>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</si>
  <si>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</si>
  <si>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</si>
  <si>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</si>
  <si>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</si>
  <si>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</si>
  <si>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</si>
  <si>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</si>
  <si>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</si>
  <si>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</si>
  <si>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</si>
  <si>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</si>
  <si>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</si>
  <si>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</si>
  <si>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</si>
  <si>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</si>
  <si>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</si>
  <si>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</si>
  <si>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</si>
  <si>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</si>
  <si>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</si>
  <si>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</si>
  <si>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</si>
  <si>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</si>
  <si>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</si>
  <si>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</si>
  <si>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</si>
  <si>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</si>
  <si>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</si>
  <si>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</si>
  <si>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</si>
  <si>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</si>
  <si>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</si>
  <si>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</si>
  <si>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</si>
  <si>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</si>
  <si>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</si>
  <si>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</si>
  <si>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2025-06-30</t>
  </si>
  <si>
    <t>2025-03-31</t>
  </si>
  <si>
    <t>2024-12-30</t>
  </si>
  <si>
    <t>anomalies: nvr stock price is super high, but the 2024 q4 pe ratio</t>
  </si>
  <si>
    <t>is slightly below 15</t>
  </si>
  <si>
    <t>without nvr</t>
  </si>
  <si>
    <t>next_q_return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</si>
</sst>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ont="1" applyFill="1" applyBorder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Q3</a:t>
            </a:r>
            <a:r>
              <a:rPr lang="en-US" baseline="0"/>
              <a:t> P/E Ratio to Q4 Stock Price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 Ratio below 15'!$B$1</c:f>
              <c:strCache>
                <c:ptCount val="1"/>
                <c:pt idx="0">
                  <c:v>2025-09-30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'PE Ratio below 15'!$C$3:$C$151</c:f>
              <c:numCache>
                <c:formatCode>General</c:formatCode>
                <c:ptCount val="149"/>
                <c:pt idx="0">
                  <c:v>3.6502235391166771</c:v>
                </c:pt>
                <c:pt idx="1">
                  <c:v>8.9903161749484859</c:v>
                </c:pt>
                <c:pt idx="2">
                  <c:v>13.491110907660589</c:v>
                </c:pt>
                <c:pt idx="3">
                  <c:v>3.7799389752106549</c:v>
                </c:pt>
                <c:pt idx="4">
                  <c:v>11.5022618719872</c:v>
                </c:pt>
                <c:pt idx="5">
                  <c:v>10.931838313235509</c:v>
                </c:pt>
                <c:pt idx="6">
                  <c:v>12.923616693289249</c:v>
                </c:pt>
                <c:pt idx="7">
                  <c:v>11.714109848175561</c:v>
                </c:pt>
                <c:pt idx="8">
                  <c:v>10.43201747693514</c:v>
                </c:pt>
                <c:pt idx="9">
                  <c:v>11.76857914484984</c:v>
                </c:pt>
                <c:pt idx="10">
                  <c:v>6.2486228207254539</c:v>
                </c:pt>
                <c:pt idx="11">
                  <c:v>10.33355303651072</c:v>
                </c:pt>
                <c:pt idx="12">
                  <c:v>5.3518295288085938</c:v>
                </c:pt>
                <c:pt idx="13">
                  <c:v>10.63906863584357</c:v>
                </c:pt>
                <c:pt idx="14">
                  <c:v>11.880390732376661</c:v>
                </c:pt>
                <c:pt idx="15">
                  <c:v>8.8043435433827675</c:v>
                </c:pt>
                <c:pt idx="16">
                  <c:v>11.01257876030304</c:v>
                </c:pt>
                <c:pt idx="17">
                  <c:v>14.20356348941201</c:v>
                </c:pt>
                <c:pt idx="18">
                  <c:v>10.17799289138229</c:v>
                </c:pt>
                <c:pt idx="19">
                  <c:v>14.292222895520799</c:v>
                </c:pt>
                <c:pt idx="20">
                  <c:v>10.67073080274794</c:v>
                </c:pt>
                <c:pt idx="21">
                  <c:v>10.961417283083829</c:v>
                </c:pt>
                <c:pt idx="22">
                  <c:v>5.1258864977681036</c:v>
                </c:pt>
                <c:pt idx="23">
                  <c:v>10.17901276888913</c:v>
                </c:pt>
                <c:pt idx="24">
                  <c:v>8.0914701573988967</c:v>
                </c:pt>
                <c:pt idx="25">
                  <c:v>9.9337799621808944</c:v>
                </c:pt>
                <c:pt idx="26">
                  <c:v>10.26646961113785</c:v>
                </c:pt>
                <c:pt idx="27">
                  <c:v>5.4686300943557669</c:v>
                </c:pt>
                <c:pt idx="28">
                  <c:v>13.35553546791806</c:v>
                </c:pt>
                <c:pt idx="29">
                  <c:v>12.425377683819461</c:v>
                </c:pt>
                <c:pt idx="30">
                  <c:v>7.8969508083512858</c:v>
                </c:pt>
                <c:pt idx="31">
                  <c:v>13.192110903122851</c:v>
                </c:pt>
                <c:pt idx="32">
                  <c:v>13.048394687512779</c:v>
                </c:pt>
                <c:pt idx="33">
                  <c:v>12.60577939591318</c:v>
                </c:pt>
                <c:pt idx="34">
                  <c:v>13.95885717301142</c:v>
                </c:pt>
                <c:pt idx="35">
                  <c:v>13.9244509267283</c:v>
                </c:pt>
                <c:pt idx="36">
                  <c:v>6.4881976591337711</c:v>
                </c:pt>
                <c:pt idx="37">
                  <c:v>7.9898475506983759</c:v>
                </c:pt>
                <c:pt idx="38">
                  <c:v>10.122578504078749</c:v>
                </c:pt>
                <c:pt idx="39">
                  <c:v>12.836984501430701</c:v>
                </c:pt>
                <c:pt idx="40">
                  <c:v>13.80292231740515</c:v>
                </c:pt>
                <c:pt idx="41">
                  <c:v>6.2100410461425781</c:v>
                </c:pt>
                <c:pt idx="42">
                  <c:v>14.93100197084488</c:v>
                </c:pt>
                <c:pt idx="43">
                  <c:v>10.11075693018296</c:v>
                </c:pt>
                <c:pt idx="44">
                  <c:v>14.37725825067028</c:v>
                </c:pt>
                <c:pt idx="45">
                  <c:v>9.1410488758272344</c:v>
                </c:pt>
                <c:pt idx="46">
                  <c:v>12.854366130306939</c:v>
                </c:pt>
                <c:pt idx="47">
                  <c:v>11.492242398469349</c:v>
                </c:pt>
                <c:pt idx="48">
                  <c:v>6.8747987452241563</c:v>
                </c:pt>
                <c:pt idx="49">
                  <c:v>12.136009761265351</c:v>
                </c:pt>
                <c:pt idx="50">
                  <c:v>12.9723528693704</c:v>
                </c:pt>
                <c:pt idx="51">
                  <c:v>14.926146206102869</c:v>
                </c:pt>
                <c:pt idx="52">
                  <c:v>4.8455992683035429</c:v>
                </c:pt>
                <c:pt idx="53">
                  <c:v>11.943182078274811</c:v>
                </c:pt>
                <c:pt idx="54">
                  <c:v>10.850378961274121</c:v>
                </c:pt>
                <c:pt idx="55">
                  <c:v>5.5296622955047328</c:v>
                </c:pt>
                <c:pt idx="56">
                  <c:v>11.103746316728801</c:v>
                </c:pt>
                <c:pt idx="57">
                  <c:v>11.20647104775033</c:v>
                </c:pt>
                <c:pt idx="58">
                  <c:v>7.8138171501879423</c:v>
                </c:pt>
                <c:pt idx="59">
                  <c:v>7.402018747309886</c:v>
                </c:pt>
                <c:pt idx="60">
                  <c:v>8.6914881361716709</c:v>
                </c:pt>
                <c:pt idx="61">
                  <c:v>11.318034436329301</c:v>
                </c:pt>
                <c:pt idx="62">
                  <c:v>14.88352100759043</c:v>
                </c:pt>
                <c:pt idx="63">
                  <c:v>7.9145650302662567</c:v>
                </c:pt>
                <c:pt idx="64">
                  <c:v>10.438531782568949</c:v>
                </c:pt>
                <c:pt idx="65">
                  <c:v>9.7707370459209386</c:v>
                </c:pt>
                <c:pt idx="66">
                  <c:v>9.319444232516819</c:v>
                </c:pt>
                <c:pt idx="67">
                  <c:v>8.4847421788457602</c:v>
                </c:pt>
                <c:pt idx="68">
                  <c:v>10.256529566067369</c:v>
                </c:pt>
                <c:pt idx="69">
                  <c:v>12.908432435016239</c:v>
                </c:pt>
                <c:pt idx="70">
                  <c:v>11.27087197652677</c:v>
                </c:pt>
                <c:pt idx="71">
                  <c:v>12.323617935180661</c:v>
                </c:pt>
                <c:pt idx="72">
                  <c:v>13.70147638445858</c:v>
                </c:pt>
                <c:pt idx="73">
                  <c:v>10.796598025730679</c:v>
                </c:pt>
                <c:pt idx="74">
                  <c:v>10.32216185895504</c:v>
                </c:pt>
                <c:pt idx="75">
                  <c:v>10.106269600465129</c:v>
                </c:pt>
                <c:pt idx="76">
                  <c:v>10.63051160317567</c:v>
                </c:pt>
                <c:pt idx="77">
                  <c:v>13.030345404326029</c:v>
                </c:pt>
                <c:pt idx="78">
                  <c:v>8.9452877016876577</c:v>
                </c:pt>
                <c:pt idx="79">
                  <c:v>14.61081871619591</c:v>
                </c:pt>
                <c:pt idx="80">
                  <c:v>13.957431375348531</c:v>
                </c:pt>
                <c:pt idx="81">
                  <c:v>6.628373747320035</c:v>
                </c:pt>
                <c:pt idx="82">
                  <c:v>12.584682852922089</c:v>
                </c:pt>
                <c:pt idx="83">
                  <c:v>14.542571358058771</c:v>
                </c:pt>
                <c:pt idx="84">
                  <c:v>6.6209675163351074</c:v>
                </c:pt>
                <c:pt idx="85">
                  <c:v>12.82982771840839</c:v>
                </c:pt>
                <c:pt idx="86">
                  <c:v>11.46750991994684</c:v>
                </c:pt>
                <c:pt idx="87">
                  <c:v>12.055071888354</c:v>
                </c:pt>
                <c:pt idx="88">
                  <c:v>12.768192145660629</c:v>
                </c:pt>
                <c:pt idx="89">
                  <c:v>9.9300715231126357</c:v>
                </c:pt>
                <c:pt idx="90">
                  <c:v>10.15750653034932</c:v>
                </c:pt>
                <c:pt idx="91">
                  <c:v>6.4303102355072461</c:v>
                </c:pt>
                <c:pt idx="92">
                  <c:v>11.32947151814032</c:v>
                </c:pt>
                <c:pt idx="93">
                  <c:v>12.97694628511495</c:v>
                </c:pt>
                <c:pt idx="94">
                  <c:v>13.010500578602329</c:v>
                </c:pt>
                <c:pt idx="95">
                  <c:v>6.3467648736844389</c:v>
                </c:pt>
                <c:pt idx="96">
                  <c:v>11.061951298041629</c:v>
                </c:pt>
                <c:pt idx="97">
                  <c:v>14.151922546991029</c:v>
                </c:pt>
                <c:pt idx="98">
                  <c:v>9.9639091193887506</c:v>
                </c:pt>
                <c:pt idx="99">
                  <c:v>10.52234711185578</c:v>
                </c:pt>
                <c:pt idx="100">
                  <c:v>13.92399947672104</c:v>
                </c:pt>
                <c:pt idx="101">
                  <c:v>11.89346819852306</c:v>
                </c:pt>
                <c:pt idx="102">
                  <c:v>2.5137741046831961</c:v>
                </c:pt>
                <c:pt idx="103">
                  <c:v>10.10778379945789</c:v>
                </c:pt>
                <c:pt idx="104">
                  <c:v>12.63839721679688</c:v>
                </c:pt>
                <c:pt idx="105">
                  <c:v>6.1210394730617432</c:v>
                </c:pt>
                <c:pt idx="106">
                  <c:v>8.8018543190426293</c:v>
                </c:pt>
                <c:pt idx="107">
                  <c:v>14.569637649937681</c:v>
                </c:pt>
                <c:pt idx="108">
                  <c:v>8.3070415464923091</c:v>
                </c:pt>
                <c:pt idx="109">
                  <c:v>10.760839553106401</c:v>
                </c:pt>
                <c:pt idx="110">
                  <c:v>9.8088647498459114</c:v>
                </c:pt>
                <c:pt idx="111">
                  <c:v>7.7020441211244588</c:v>
                </c:pt>
                <c:pt idx="112">
                  <c:v>8.2300441471508012</c:v>
                </c:pt>
                <c:pt idx="113">
                  <c:v>13.24237577376827</c:v>
                </c:pt>
                <c:pt idx="114">
                  <c:v>8.6263585735011752</c:v>
                </c:pt>
                <c:pt idx="115">
                  <c:v>11.94866525251313</c:v>
                </c:pt>
                <c:pt idx="116">
                  <c:v>9.0748762473081932</c:v>
                </c:pt>
                <c:pt idx="117">
                  <c:v>11.2998774353887</c:v>
                </c:pt>
                <c:pt idx="118">
                  <c:v>14.615385661753569</c:v>
                </c:pt>
                <c:pt idx="119">
                  <c:v>12.407977240426201</c:v>
                </c:pt>
                <c:pt idx="120">
                  <c:v>8.97930682062389</c:v>
                </c:pt>
              </c:numCache>
            </c:numRef>
          </c:xVal>
          <c:yVal>
            <c:numRef>
              <c:f>'PE Ratio below 15'!$F$3:$F$123</c:f>
              <c:numCache>
                <c:formatCode>General</c:formatCode>
                <c:ptCount val="121"/>
                <c:pt idx="0">
                  <c:v>0.11583130847126372</c:v>
                </c:pt>
                <c:pt idx="1">
                  <c:v>-2.8825052467392853E-3</c:v>
                </c:pt>
                <c:pt idx="2">
                  <c:v>0.12757375825035938</c:v>
                </c:pt>
                <c:pt idx="3">
                  <c:v>-2.1260527272846615E-2</c:v>
                </c:pt>
                <c:pt idx="4">
                  <c:v>-0.10948750805891849</c:v>
                </c:pt>
                <c:pt idx="5">
                  <c:v>-2.7923598149607702E-2</c:v>
                </c:pt>
                <c:pt idx="6">
                  <c:v>1.0057062750448634E-2</c:v>
                </c:pt>
                <c:pt idx="7">
                  <c:v>0.17304865806697103</c:v>
                </c:pt>
                <c:pt idx="8">
                  <c:v>2.8687534031157504E-2</c:v>
                </c:pt>
                <c:pt idx="9">
                  <c:v>0.10026717622182291</c:v>
                </c:pt>
                <c:pt idx="10">
                  <c:v>6.5358757696139885E-2</c:v>
                </c:pt>
                <c:pt idx="11">
                  <c:v>0.12219529533502257</c:v>
                </c:pt>
                <c:pt idx="12">
                  <c:v>-0.11200050226391732</c:v>
                </c:pt>
                <c:pt idx="13">
                  <c:v>6.0211354831828705E-2</c:v>
                </c:pt>
                <c:pt idx="14">
                  <c:v>7.7093868542002078E-2</c:v>
                </c:pt>
                <c:pt idx="15">
                  <c:v>1.9294292070358577E-3</c:v>
                </c:pt>
                <c:pt idx="16">
                  <c:v>0.25928035116128795</c:v>
                </c:pt>
                <c:pt idx="17">
                  <c:v>7.7885536906205907E-2</c:v>
                </c:pt>
                <c:pt idx="18">
                  <c:v>0.21851607352333516</c:v>
                </c:pt>
                <c:pt idx="19">
                  <c:v>-2.0074119278984393E-2</c:v>
                </c:pt>
                <c:pt idx="20">
                  <c:v>-0.10049680169093533</c:v>
                </c:pt>
                <c:pt idx="21">
                  <c:v>0.15202683448257512</c:v>
                </c:pt>
                <c:pt idx="22">
                  <c:v>6.6067099878697647E-2</c:v>
                </c:pt>
                <c:pt idx="23">
                  <c:v>-0.13724801171307885</c:v>
                </c:pt>
                <c:pt idx="24">
                  <c:v>-0.23812286989267886</c:v>
                </c:pt>
                <c:pt idx="25">
                  <c:v>0.11298499432573074</c:v>
                </c:pt>
                <c:pt idx="26">
                  <c:v>-3.5444552496248838E-2</c:v>
                </c:pt>
                <c:pt idx="27">
                  <c:v>4.8781171663970342E-2</c:v>
                </c:pt>
                <c:pt idx="28">
                  <c:v>0.16166361246597905</c:v>
                </c:pt>
                <c:pt idx="29">
                  <c:v>0.1189440208997523</c:v>
                </c:pt>
                <c:pt idx="30">
                  <c:v>-3.6024464799399608E-2</c:v>
                </c:pt>
                <c:pt idx="31">
                  <c:v>-2.8496895675100966E-2</c:v>
                </c:pt>
                <c:pt idx="32">
                  <c:v>2.008872590762982E-3</c:v>
                </c:pt>
                <c:pt idx="33">
                  <c:v>4.8710386418732529E-2</c:v>
                </c:pt>
                <c:pt idx="34">
                  <c:v>0.13258007411947023</c:v>
                </c:pt>
                <c:pt idx="35">
                  <c:v>3.6105316499444491E-2</c:v>
                </c:pt>
                <c:pt idx="36">
                  <c:v>0.2255844935957588</c:v>
                </c:pt>
                <c:pt idx="37">
                  <c:v>5.6960599668483686E-2</c:v>
                </c:pt>
                <c:pt idx="38">
                  <c:v>6.4233981336996551E-2</c:v>
                </c:pt>
                <c:pt idx="39">
                  <c:v>-2.3594278731591593E-2</c:v>
                </c:pt>
                <c:pt idx="40">
                  <c:v>-0.13860952708328569</c:v>
                </c:pt>
                <c:pt idx="41">
                  <c:v>0.10846324194796929</c:v>
                </c:pt>
                <c:pt idx="42">
                  <c:v>8.6180345939486352E-3</c:v>
                </c:pt>
                <c:pt idx="43">
                  <c:v>-4.8568166906865239E-2</c:v>
                </c:pt>
                <c:pt idx="44">
                  <c:v>-2.5611743538029599E-2</c:v>
                </c:pt>
                <c:pt idx="45">
                  <c:v>-2.8175552286587666E-2</c:v>
                </c:pt>
                <c:pt idx="46">
                  <c:v>-1.5696549002536055E-2</c:v>
                </c:pt>
                <c:pt idx="47">
                  <c:v>5.9504852878789483E-2</c:v>
                </c:pt>
                <c:pt idx="48">
                  <c:v>0.33555924634248491</c:v>
                </c:pt>
                <c:pt idx="49">
                  <c:v>6.6891152689441166E-2</c:v>
                </c:pt>
                <c:pt idx="50">
                  <c:v>0.19847634904980091</c:v>
                </c:pt>
                <c:pt idx="51">
                  <c:v>-9.1566048707717347E-3</c:v>
                </c:pt>
                <c:pt idx="52">
                  <c:v>0.11898047273546559</c:v>
                </c:pt>
                <c:pt idx="53">
                  <c:v>0.16872812152296782</c:v>
                </c:pt>
                <c:pt idx="54">
                  <c:v>0.14138590233336432</c:v>
                </c:pt>
                <c:pt idx="55">
                  <c:v>-6.2757289723358048E-2</c:v>
                </c:pt>
                <c:pt idx="56">
                  <c:v>0.35303189872382912</c:v>
                </c:pt>
                <c:pt idx="57">
                  <c:v>0.1170593008807745</c:v>
                </c:pt>
                <c:pt idx="58">
                  <c:v>-4.2455806481623913E-2</c:v>
                </c:pt>
                <c:pt idx="59">
                  <c:v>-8.6420675047483211E-3</c:v>
                </c:pt>
                <c:pt idx="60">
                  <c:v>4.5435149025055244E-2</c:v>
                </c:pt>
                <c:pt idx="61">
                  <c:v>0.10004091250105326</c:v>
                </c:pt>
                <c:pt idx="62">
                  <c:v>0.11206928945039721</c:v>
                </c:pt>
                <c:pt idx="63">
                  <c:v>-0.14900010554041834</c:v>
                </c:pt>
                <c:pt idx="64">
                  <c:v>2.0492041178836771E-2</c:v>
                </c:pt>
                <c:pt idx="65">
                  <c:v>0.16625405623640274</c:v>
                </c:pt>
                <c:pt idx="66">
                  <c:v>0.11177347497098045</c:v>
                </c:pt>
                <c:pt idx="67">
                  <c:v>0.16363394180194654</c:v>
                </c:pt>
                <c:pt idx="68">
                  <c:v>9.9954577518882703E-2</c:v>
                </c:pt>
                <c:pt idx="69">
                  <c:v>0.10348884484404267</c:v>
                </c:pt>
                <c:pt idx="70">
                  <c:v>0.12149651328131286</c:v>
                </c:pt>
                <c:pt idx="71">
                  <c:v>-4.6936336700116231E-2</c:v>
                </c:pt>
                <c:pt idx="72">
                  <c:v>-0.17222767299726585</c:v>
                </c:pt>
                <c:pt idx="73">
                  <c:v>1.9170224881265664E-2</c:v>
                </c:pt>
                <c:pt idx="74">
                  <c:v>5.8392371655855556E-2</c:v>
                </c:pt>
                <c:pt idx="75">
                  <c:v>3.8193973972486153E-2</c:v>
                </c:pt>
                <c:pt idx="76">
                  <c:v>-0.14576720210303362</c:v>
                </c:pt>
                <c:pt idx="77">
                  <c:v>-8.4463279798514826E-2</c:v>
                </c:pt>
                <c:pt idx="78">
                  <c:v>0.27447272073852857</c:v>
                </c:pt>
                <c:pt idx="79">
                  <c:v>0.75072638831731753</c:v>
                </c:pt>
                <c:pt idx="80">
                  <c:v>0.13343119677166546</c:v>
                </c:pt>
                <c:pt idx="81">
                  <c:v>-0.29724719019428353</c:v>
                </c:pt>
                <c:pt idx="82">
                  <c:v>0.21167162204976575</c:v>
                </c:pt>
                <c:pt idx="83">
                  <c:v>3.2426150496626081E-2</c:v>
                </c:pt>
                <c:pt idx="84">
                  <c:v>-8.9321921662718642E-2</c:v>
                </c:pt>
                <c:pt idx="85">
                  <c:v>0.21686496227409183</c:v>
                </c:pt>
                <c:pt idx="86">
                  <c:v>-1.5687595336399218E-5</c:v>
                </c:pt>
                <c:pt idx="87">
                  <c:v>2.7443560998592909E-2</c:v>
                </c:pt>
                <c:pt idx="88">
                  <c:v>-0.11666228591074786</c:v>
                </c:pt>
                <c:pt idx="89">
                  <c:v>-1.9608998824995035E-3</c:v>
                </c:pt>
                <c:pt idx="90">
                  <c:v>6.6313027972847258E-2</c:v>
                </c:pt>
                <c:pt idx="91">
                  <c:v>5.8793215158251533E-3</c:v>
                </c:pt>
                <c:pt idx="92">
                  <c:v>6.005655265138337E-2</c:v>
                </c:pt>
                <c:pt idx="93">
                  <c:v>-6.2745007422475877E-3</c:v>
                </c:pt>
                <c:pt idx="94">
                  <c:v>-6.8380882583612052E-2</c:v>
                </c:pt>
                <c:pt idx="95">
                  <c:v>0.11039488694134034</c:v>
                </c:pt>
                <c:pt idx="96">
                  <c:v>-0.1041151419039982</c:v>
                </c:pt>
                <c:pt idx="97">
                  <c:v>-5.5490969520016913E-2</c:v>
                </c:pt>
                <c:pt idx="98">
                  <c:v>0.37818193319288018</c:v>
                </c:pt>
                <c:pt idx="99">
                  <c:v>4.6926963356984853E-2</c:v>
                </c:pt>
                <c:pt idx="100">
                  <c:v>-0.12645695063101542</c:v>
                </c:pt>
                <c:pt idx="101">
                  <c:v>-8.4609488391737001E-2</c:v>
                </c:pt>
                <c:pt idx="102">
                  <c:v>9.8082241946703771E-2</c:v>
                </c:pt>
                <c:pt idx="103">
                  <c:v>0.13171827971658567</c:v>
                </c:pt>
                <c:pt idx="104">
                  <c:v>0.22663711986758864</c:v>
                </c:pt>
                <c:pt idx="105">
                  <c:v>0.19150553040189974</c:v>
                </c:pt>
                <c:pt idx="106">
                  <c:v>2.211731740799959E-2</c:v>
                </c:pt>
                <c:pt idx="107">
                  <c:v>9.98675113168314E-2</c:v>
                </c:pt>
                <c:pt idx="108">
                  <c:v>5.1273790718487047E-2</c:v>
                </c:pt>
                <c:pt idx="109">
                  <c:v>9.6568745286019192E-2</c:v>
                </c:pt>
                <c:pt idx="110">
                  <c:v>0.12373260844357883</c:v>
                </c:pt>
                <c:pt idx="111">
                  <c:v>-0.16178420206829247</c:v>
                </c:pt>
                <c:pt idx="112">
                  <c:v>0.15564763360690576</c:v>
                </c:pt>
                <c:pt idx="113">
                  <c:v>0.21360154084484975</c:v>
                </c:pt>
                <c:pt idx="114">
                  <c:v>0.10176533804988547</c:v>
                </c:pt>
                <c:pt idx="115">
                  <c:v>-2.561037870846726E-2</c:v>
                </c:pt>
                <c:pt idx="116">
                  <c:v>-5.8028991411941205E-2</c:v>
                </c:pt>
                <c:pt idx="117">
                  <c:v>-0.11690428942944643</c:v>
                </c:pt>
                <c:pt idx="118">
                  <c:v>-6.1199537150098245E-2</c:v>
                </c:pt>
                <c:pt idx="119">
                  <c:v>0.13106476222788666</c:v>
                </c:pt>
                <c:pt idx="120">
                  <c:v>0.46761256665904127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4-A144-99EA-950D8D96B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039727"/>
        <c:axId val="629802527"/>
      </c:scatterChart>
      <c:valAx>
        <c:axId val="6300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 Ratio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2527"/>
        <c:crosses val="autoZero"/>
        <c:crossBetween val="midCat"/>
      </c:valAx>
      <c:valAx>
        <c:axId val="6298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After 1 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972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Q2 P/E Ratio to Q3 Stock Price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 Ratio below 15'!$H$1</c:f>
              <c:strCache>
                <c:ptCount val="1"/>
                <c:pt idx="0">
                  <c:v>2025-06-30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'PE Ratio below 15'!$I$3:$I$118</c:f>
              <c:numCache>
                <c:formatCode>General</c:formatCode>
                <c:ptCount val="116"/>
                <c:pt idx="0">
                  <c:v>6.3416493151327424</c:v>
                </c:pt>
                <c:pt idx="1">
                  <c:v>10.01297158537268</c:v>
                </c:pt>
                <c:pt idx="2">
                  <c:v>11.146987681826131</c:v>
                </c:pt>
                <c:pt idx="3">
                  <c:v>10.58078670501709</c:v>
                </c:pt>
                <c:pt idx="4">
                  <c:v>12.182500783134911</c:v>
                </c:pt>
                <c:pt idx="5">
                  <c:v>2.6461524163891461</c:v>
                </c:pt>
                <c:pt idx="6">
                  <c:v>9.4750001695421009</c:v>
                </c:pt>
                <c:pt idx="7">
                  <c:v>6.8977275039210468</c:v>
                </c:pt>
                <c:pt idx="8">
                  <c:v>10.652085179867949</c:v>
                </c:pt>
                <c:pt idx="9">
                  <c:v>11.2983803595266</c:v>
                </c:pt>
                <c:pt idx="10">
                  <c:v>13.365527945505059</c:v>
                </c:pt>
                <c:pt idx="11">
                  <c:v>13.004157808091909</c:v>
                </c:pt>
                <c:pt idx="12">
                  <c:v>7.2511545229728993</c:v>
                </c:pt>
                <c:pt idx="13">
                  <c:v>11.51083139272836</c:v>
                </c:pt>
                <c:pt idx="14">
                  <c:v>7.500460345774437</c:v>
                </c:pt>
                <c:pt idx="15">
                  <c:v>12.175724471824759</c:v>
                </c:pt>
                <c:pt idx="16">
                  <c:v>9.5905336146616236</c:v>
                </c:pt>
                <c:pt idx="17">
                  <c:v>10.861052007401531</c:v>
                </c:pt>
                <c:pt idx="18">
                  <c:v>9.7287737050946888</c:v>
                </c:pt>
                <c:pt idx="19">
                  <c:v>14.19624090194702</c:v>
                </c:pt>
                <c:pt idx="20">
                  <c:v>8.4086709915230813</c:v>
                </c:pt>
                <c:pt idx="21">
                  <c:v>10.58999553413844</c:v>
                </c:pt>
                <c:pt idx="22">
                  <c:v>11.81892887238533</c:v>
                </c:pt>
                <c:pt idx="23">
                  <c:v>10.89152159514251</c:v>
                </c:pt>
                <c:pt idx="24">
                  <c:v>14.760698798958581</c:v>
                </c:pt>
                <c:pt idx="25">
                  <c:v>2.694333606324157</c:v>
                </c:pt>
                <c:pt idx="26">
                  <c:v>9.2903461096421722</c:v>
                </c:pt>
                <c:pt idx="27">
                  <c:v>14.132608511509041</c:v>
                </c:pt>
                <c:pt idx="28">
                  <c:v>13.83420352278085</c:v>
                </c:pt>
                <c:pt idx="29">
                  <c:v>9.6550554037094116</c:v>
                </c:pt>
                <c:pt idx="30">
                  <c:v>9.3051184469194546</c:v>
                </c:pt>
                <c:pt idx="31">
                  <c:v>12.55563198597439</c:v>
                </c:pt>
                <c:pt idx="32">
                  <c:v>13.59255696071013</c:v>
                </c:pt>
                <c:pt idx="33">
                  <c:v>3.7239464317880029</c:v>
                </c:pt>
                <c:pt idx="34">
                  <c:v>5.5261198903473332</c:v>
                </c:pt>
                <c:pt idx="35">
                  <c:v>14.231632136497179</c:v>
                </c:pt>
                <c:pt idx="36">
                  <c:v>14.16910253342229</c:v>
                </c:pt>
                <c:pt idx="37">
                  <c:v>9.5095716527378524</c:v>
                </c:pt>
                <c:pt idx="38">
                  <c:v>14.915195840304021</c:v>
                </c:pt>
                <c:pt idx="39">
                  <c:v>13.84657849086804</c:v>
                </c:pt>
                <c:pt idx="40">
                  <c:v>12.41127763959941</c:v>
                </c:pt>
                <c:pt idx="41">
                  <c:v>4.9057358189633016</c:v>
                </c:pt>
                <c:pt idx="42">
                  <c:v>11.73292513816587</c:v>
                </c:pt>
                <c:pt idx="43">
                  <c:v>11.06296932424298</c:v>
                </c:pt>
                <c:pt idx="44">
                  <c:v>5.2771740078185649</c:v>
                </c:pt>
                <c:pt idx="45">
                  <c:v>7.0399043015238689</c:v>
                </c:pt>
                <c:pt idx="46">
                  <c:v>12.893534242437131</c:v>
                </c:pt>
                <c:pt idx="47">
                  <c:v>8.1130418879149833</c:v>
                </c:pt>
                <c:pt idx="48">
                  <c:v>11.4842414855957</c:v>
                </c:pt>
                <c:pt idx="49">
                  <c:v>12.97335370580978</c:v>
                </c:pt>
                <c:pt idx="50">
                  <c:v>8.8826398181307837</c:v>
                </c:pt>
                <c:pt idx="51">
                  <c:v>8.1799501066754576</c:v>
                </c:pt>
                <c:pt idx="52">
                  <c:v>6.312534981167194</c:v>
                </c:pt>
                <c:pt idx="53">
                  <c:v>9.99429387953675</c:v>
                </c:pt>
                <c:pt idx="54">
                  <c:v>9.1361470655961465</c:v>
                </c:pt>
                <c:pt idx="55">
                  <c:v>9.0127545987979047</c:v>
                </c:pt>
                <c:pt idx="56">
                  <c:v>13.637484318610801</c:v>
                </c:pt>
                <c:pt idx="57">
                  <c:v>11.63530722260475</c:v>
                </c:pt>
                <c:pt idx="58">
                  <c:v>7.3862864647382569</c:v>
                </c:pt>
                <c:pt idx="59">
                  <c:v>13.42908893011313</c:v>
                </c:pt>
                <c:pt idx="60">
                  <c:v>11.761360168457029</c:v>
                </c:pt>
                <c:pt idx="61">
                  <c:v>8.1459328318326669</c:v>
                </c:pt>
                <c:pt idx="62">
                  <c:v>7.5960949375040858</c:v>
                </c:pt>
                <c:pt idx="63">
                  <c:v>13.61117844354539</c:v>
                </c:pt>
                <c:pt idx="64">
                  <c:v>12.17555999755859</c:v>
                </c:pt>
                <c:pt idx="65">
                  <c:v>12.958746932127299</c:v>
                </c:pt>
                <c:pt idx="66">
                  <c:v>12.096101125081381</c:v>
                </c:pt>
                <c:pt idx="67">
                  <c:v>12.238818693925991</c:v>
                </c:pt>
                <c:pt idx="68">
                  <c:v>12.7707098131982</c:v>
                </c:pt>
                <c:pt idx="69">
                  <c:v>11.21060456468466</c:v>
                </c:pt>
                <c:pt idx="70">
                  <c:v>10.3764437665843</c:v>
                </c:pt>
                <c:pt idx="71">
                  <c:v>12.35875014043526</c:v>
                </c:pt>
                <c:pt idx="72">
                  <c:v>14.883553748037301</c:v>
                </c:pt>
                <c:pt idx="73">
                  <c:v>10.986428120230761</c:v>
                </c:pt>
                <c:pt idx="74">
                  <c:v>11.153191099775601</c:v>
                </c:pt>
                <c:pt idx="75">
                  <c:v>5.5076893244948337</c:v>
                </c:pt>
                <c:pt idx="76">
                  <c:v>6.934344232803201</c:v>
                </c:pt>
                <c:pt idx="77">
                  <c:v>7.7820711238409883</c:v>
                </c:pt>
                <c:pt idx="78">
                  <c:v>5.6524768130469862</c:v>
                </c:pt>
                <c:pt idx="79">
                  <c:v>6.5275323299961237</c:v>
                </c:pt>
                <c:pt idx="80">
                  <c:v>14.632003106803539</c:v>
                </c:pt>
                <c:pt idx="81">
                  <c:v>12.363270979661211</c:v>
                </c:pt>
                <c:pt idx="82">
                  <c:v>13.37095173922452</c:v>
                </c:pt>
                <c:pt idx="83">
                  <c:v>14.80724847138818</c:v>
                </c:pt>
                <c:pt idx="84">
                  <c:v>14.259344247671271</c:v>
                </c:pt>
                <c:pt idx="85">
                  <c:v>11.289563833498489</c:v>
                </c:pt>
                <c:pt idx="86">
                  <c:v>14.45165077845256</c:v>
                </c:pt>
                <c:pt idx="87">
                  <c:v>13.62075805664062</c:v>
                </c:pt>
                <c:pt idx="88">
                  <c:v>13.61423516125412</c:v>
                </c:pt>
                <c:pt idx="89">
                  <c:v>11.770638777184359</c:v>
                </c:pt>
                <c:pt idx="90">
                  <c:v>13.918645487585049</c:v>
                </c:pt>
                <c:pt idx="91">
                  <c:v>14.161785202797009</c:v>
                </c:pt>
                <c:pt idx="92">
                  <c:v>10.76247916037206</c:v>
                </c:pt>
                <c:pt idx="93">
                  <c:v>11.56472983835368</c:v>
                </c:pt>
                <c:pt idx="94">
                  <c:v>8.6124226304351303</c:v>
                </c:pt>
                <c:pt idx="95">
                  <c:v>9.8857176627997543</c:v>
                </c:pt>
                <c:pt idx="96">
                  <c:v>9.7669100357314296</c:v>
                </c:pt>
                <c:pt idx="97">
                  <c:v>11.089612325032549</c:v>
                </c:pt>
                <c:pt idx="98">
                  <c:v>11.833300157026811</c:v>
                </c:pt>
                <c:pt idx="99">
                  <c:v>6.5915248308523724</c:v>
                </c:pt>
                <c:pt idx="100">
                  <c:v>10.511776379176551</c:v>
                </c:pt>
                <c:pt idx="101">
                  <c:v>14.72167119857575</c:v>
                </c:pt>
                <c:pt idx="102">
                  <c:v>11.696215509210971</c:v>
                </c:pt>
                <c:pt idx="103">
                  <c:v>14.75220427793615</c:v>
                </c:pt>
                <c:pt idx="104">
                  <c:v>10.008076341263671</c:v>
                </c:pt>
                <c:pt idx="105">
                  <c:v>11.533278161352809</c:v>
                </c:pt>
                <c:pt idx="106">
                  <c:v>9.9867210731850005</c:v>
                </c:pt>
                <c:pt idx="107">
                  <c:v>6.6249571331578956</c:v>
                </c:pt>
                <c:pt idx="108">
                  <c:v>8.2332388733688386</c:v>
                </c:pt>
                <c:pt idx="109">
                  <c:v>14.527921509324459</c:v>
                </c:pt>
                <c:pt idx="110">
                  <c:v>8.7177947416143908</c:v>
                </c:pt>
                <c:pt idx="111">
                  <c:v>9.646024355074255</c:v>
                </c:pt>
                <c:pt idx="112">
                  <c:v>10.54594222813436</c:v>
                </c:pt>
                <c:pt idx="113">
                  <c:v>4.4765625149011612</c:v>
                </c:pt>
                <c:pt idx="114">
                  <c:v>12.303646158727799</c:v>
                </c:pt>
                <c:pt idx="115">
                  <c:v>11.65405955627887</c:v>
                </c:pt>
              </c:numCache>
            </c:numRef>
          </c:xVal>
          <c:yVal>
            <c:numRef>
              <c:f>'PE Ratio below 15'!$L$3:$L$118</c:f>
              <c:numCache>
                <c:formatCode>General</c:formatCode>
                <c:ptCount val="116"/>
                <c:pt idx="0">
                  <c:v>7.1524688438050196E-2</c:v>
                </c:pt>
                <c:pt idx="1">
                  <c:v>0.14493588165327195</c:v>
                </c:pt>
                <c:pt idx="2">
                  <c:v>9.3171926097997904E-2</c:v>
                </c:pt>
                <c:pt idx="3">
                  <c:v>-7.697715651146636E-2</c:v>
                </c:pt>
                <c:pt idx="4">
                  <c:v>-7.6645002037066909E-2</c:v>
                </c:pt>
                <c:pt idx="5">
                  <c:v>0.34558716180498461</c:v>
                </c:pt>
                <c:pt idx="6">
                  <c:v>0.26385223802279023</c:v>
                </c:pt>
                <c:pt idx="7">
                  <c:v>-3.5145489741753595E-3</c:v>
                </c:pt>
                <c:pt idx="8">
                  <c:v>0.10084890177454217</c:v>
                </c:pt>
                <c:pt idx="9">
                  <c:v>-1.4437657537595362E-2</c:v>
                </c:pt>
                <c:pt idx="10">
                  <c:v>0.27745131696053477</c:v>
                </c:pt>
                <c:pt idx="11">
                  <c:v>9.6300820802161749E-2</c:v>
                </c:pt>
                <c:pt idx="12">
                  <c:v>0.11537547508306158</c:v>
                </c:pt>
                <c:pt idx="13">
                  <c:v>0.20229104932669517</c:v>
                </c:pt>
                <c:pt idx="14">
                  <c:v>2.0952897289692657E-2</c:v>
                </c:pt>
                <c:pt idx="15">
                  <c:v>-0.33239102004018672</c:v>
                </c:pt>
                <c:pt idx="16">
                  <c:v>-1.9249233731296844E-2</c:v>
                </c:pt>
                <c:pt idx="17">
                  <c:v>-0.32704682616737712</c:v>
                </c:pt>
                <c:pt idx="18">
                  <c:v>-2.5783519222798229E-2</c:v>
                </c:pt>
                <c:pt idx="19">
                  <c:v>-0.12364371690728017</c:v>
                </c:pt>
                <c:pt idx="20">
                  <c:v>6.7593615500253848E-2</c:v>
                </c:pt>
                <c:pt idx="21">
                  <c:v>0.20027661364920132</c:v>
                </c:pt>
                <c:pt idx="22">
                  <c:v>0.1982691992005228</c:v>
                </c:pt>
                <c:pt idx="23">
                  <c:v>3.7374477827372216E-2</c:v>
                </c:pt>
                <c:pt idx="24">
                  <c:v>-0.13663535743042718</c:v>
                </c:pt>
                <c:pt idx="25">
                  <c:v>-0.11157132889985043</c:v>
                </c:pt>
                <c:pt idx="26">
                  <c:v>-8.9069072523961706E-2</c:v>
                </c:pt>
                <c:pt idx="27">
                  <c:v>6.2740436835344929E-2</c:v>
                </c:pt>
                <c:pt idx="28">
                  <c:v>-0.16734821367870414</c:v>
                </c:pt>
                <c:pt idx="29">
                  <c:v>-9.037331348786827E-2</c:v>
                </c:pt>
                <c:pt idx="30">
                  <c:v>-5.9622032000193351E-2</c:v>
                </c:pt>
                <c:pt idx="31">
                  <c:v>0.29625594325515847</c:v>
                </c:pt>
                <c:pt idx="32">
                  <c:v>-6.7251681546441081E-2</c:v>
                </c:pt>
                <c:pt idx="33">
                  <c:v>0.15798596769894283</c:v>
                </c:pt>
                <c:pt idx="34">
                  <c:v>0.10982970236576448</c:v>
                </c:pt>
                <c:pt idx="35">
                  <c:v>4.8978540072624047E-2</c:v>
                </c:pt>
                <c:pt idx="36">
                  <c:v>-1.2950414528772969E-3</c:v>
                </c:pt>
                <c:pt idx="37">
                  <c:v>0.31795813258332783</c:v>
                </c:pt>
                <c:pt idx="38">
                  <c:v>-0.14493769383055552</c:v>
                </c:pt>
                <c:pt idx="39">
                  <c:v>8.8468194630291597E-2</c:v>
                </c:pt>
                <c:pt idx="40">
                  <c:v>-0.16473889390380289</c:v>
                </c:pt>
                <c:pt idx="41">
                  <c:v>0.12860043175369967</c:v>
                </c:pt>
                <c:pt idx="42">
                  <c:v>-5.4863373994161684E-2</c:v>
                </c:pt>
                <c:pt idx="43">
                  <c:v>-6.383933591976626E-2</c:v>
                </c:pt>
                <c:pt idx="44">
                  <c:v>3.0542900386621833E-2</c:v>
                </c:pt>
                <c:pt idx="45">
                  <c:v>-7.7489221724104509E-2</c:v>
                </c:pt>
                <c:pt idx="46">
                  <c:v>7.902869746166831E-2</c:v>
                </c:pt>
                <c:pt idx="47">
                  <c:v>4.4041794167959759E-2</c:v>
                </c:pt>
                <c:pt idx="48">
                  <c:v>9.2778951270202609E-2</c:v>
                </c:pt>
                <c:pt idx="49">
                  <c:v>0.33218562113938765</c:v>
                </c:pt>
                <c:pt idx="50">
                  <c:v>0.13045239907918765</c:v>
                </c:pt>
                <c:pt idx="51">
                  <c:v>0.11524049557564153</c:v>
                </c:pt>
                <c:pt idx="52">
                  <c:v>0.2421801086269619</c:v>
                </c:pt>
                <c:pt idx="53">
                  <c:v>0.15288147830418347</c:v>
                </c:pt>
                <c:pt idx="54">
                  <c:v>0.21617775544155288</c:v>
                </c:pt>
                <c:pt idx="55">
                  <c:v>5.5539600941688042E-2</c:v>
                </c:pt>
                <c:pt idx="56">
                  <c:v>0.11449362475964825</c:v>
                </c:pt>
                <c:pt idx="57">
                  <c:v>0.120935130432945</c:v>
                </c:pt>
                <c:pt idx="58">
                  <c:v>0.12443618149117953</c:v>
                </c:pt>
                <c:pt idx="59">
                  <c:v>6.789169560969846E-2</c:v>
                </c:pt>
                <c:pt idx="60">
                  <c:v>3.967519051588414E-2</c:v>
                </c:pt>
                <c:pt idx="61">
                  <c:v>0.24537444139330897</c:v>
                </c:pt>
                <c:pt idx="62">
                  <c:v>-0.15774178175580994</c:v>
                </c:pt>
                <c:pt idx="63">
                  <c:v>9.3269086942423918E-2</c:v>
                </c:pt>
                <c:pt idx="64">
                  <c:v>8.4387203616466774E-2</c:v>
                </c:pt>
                <c:pt idx="65">
                  <c:v>0.20038035244049784</c:v>
                </c:pt>
                <c:pt idx="66">
                  <c:v>-0.16693612926888418</c:v>
                </c:pt>
                <c:pt idx="67">
                  <c:v>9.5962844081234303E-2</c:v>
                </c:pt>
                <c:pt idx="68">
                  <c:v>0.13871453084126331</c:v>
                </c:pt>
                <c:pt idx="69">
                  <c:v>2.6346451710352797E-2</c:v>
                </c:pt>
                <c:pt idx="70">
                  <c:v>0.16677465039128064</c:v>
                </c:pt>
                <c:pt idx="71">
                  <c:v>9.8602432719419306E-2</c:v>
                </c:pt>
                <c:pt idx="72">
                  <c:v>0.15014849232360408</c:v>
                </c:pt>
                <c:pt idx="73">
                  <c:v>7.073091051802563E-2</c:v>
                </c:pt>
                <c:pt idx="74">
                  <c:v>0.22968335246261237</c:v>
                </c:pt>
                <c:pt idx="75">
                  <c:v>-5.0110955632796647E-2</c:v>
                </c:pt>
                <c:pt idx="76">
                  <c:v>-4.2853023438067767E-2</c:v>
                </c:pt>
                <c:pt idx="77">
                  <c:v>0.45194647462443932</c:v>
                </c:pt>
                <c:pt idx="78">
                  <c:v>3.683518606466997E-2</c:v>
                </c:pt>
                <c:pt idx="79">
                  <c:v>1.0107797472442811E-2</c:v>
                </c:pt>
                <c:pt idx="80">
                  <c:v>6.819731370883661E-2</c:v>
                </c:pt>
                <c:pt idx="81">
                  <c:v>4.9711214243559128E-2</c:v>
                </c:pt>
                <c:pt idx="82">
                  <c:v>0.14352467384513734</c:v>
                </c:pt>
                <c:pt idx="83">
                  <c:v>-9.473253859644333E-2</c:v>
                </c:pt>
                <c:pt idx="84">
                  <c:v>-9.768578520566934E-2</c:v>
                </c:pt>
                <c:pt idx="85">
                  <c:v>6.9293006673030136E-2</c:v>
                </c:pt>
                <c:pt idx="86">
                  <c:v>8.3577888391606459E-2</c:v>
                </c:pt>
                <c:pt idx="87">
                  <c:v>0.1513985663278529</c:v>
                </c:pt>
                <c:pt idx="88">
                  <c:v>1.2119744938706869E-2</c:v>
                </c:pt>
                <c:pt idx="89">
                  <c:v>8.7198399721252429E-2</c:v>
                </c:pt>
                <c:pt idx="90">
                  <c:v>6.7813723385143493E-2</c:v>
                </c:pt>
                <c:pt idx="91">
                  <c:v>-6.978064596175082E-2</c:v>
                </c:pt>
                <c:pt idx="92">
                  <c:v>5.4066335486630208E-2</c:v>
                </c:pt>
                <c:pt idx="93">
                  <c:v>-7.4249219710670014E-2</c:v>
                </c:pt>
                <c:pt idx="94">
                  <c:v>0.25493962760073163</c:v>
                </c:pt>
                <c:pt idx="95">
                  <c:v>7.2616721016241448E-2</c:v>
                </c:pt>
                <c:pt idx="96">
                  <c:v>0.13212691325211279</c:v>
                </c:pt>
                <c:pt idx="97">
                  <c:v>2.5001186759751218E-2</c:v>
                </c:pt>
                <c:pt idx="98">
                  <c:v>9.8787772752230316E-2</c:v>
                </c:pt>
                <c:pt idx="99">
                  <c:v>6.9210977563123388E-2</c:v>
                </c:pt>
                <c:pt idx="100">
                  <c:v>7.6570641398632844E-2</c:v>
                </c:pt>
                <c:pt idx="101">
                  <c:v>-3.1784119657360957E-2</c:v>
                </c:pt>
                <c:pt idx="102">
                  <c:v>-8.0864042040793518E-2</c:v>
                </c:pt>
                <c:pt idx="103">
                  <c:v>5.2566317282341152E-2</c:v>
                </c:pt>
                <c:pt idx="104">
                  <c:v>4.7870713567247536E-2</c:v>
                </c:pt>
                <c:pt idx="105">
                  <c:v>7.6567577474520629E-2</c:v>
                </c:pt>
                <c:pt idx="106">
                  <c:v>7.9524934233720507E-2</c:v>
                </c:pt>
                <c:pt idx="107">
                  <c:v>0.21185487038124842</c:v>
                </c:pt>
                <c:pt idx="108">
                  <c:v>0.12981192139275477</c:v>
                </c:pt>
                <c:pt idx="109">
                  <c:v>0.27698067376092711</c:v>
                </c:pt>
                <c:pt idx="110">
                  <c:v>3.213837708830089E-2</c:v>
                </c:pt>
                <c:pt idx="111">
                  <c:v>1.4308056696898028E-2</c:v>
                </c:pt>
                <c:pt idx="112">
                  <c:v>-7.6687376478816696E-2</c:v>
                </c:pt>
                <c:pt idx="113">
                  <c:v>0.70418853591936137</c:v>
                </c:pt>
                <c:pt idx="114">
                  <c:v>5.232663104217946E-2</c:v>
                </c:pt>
                <c:pt idx="115">
                  <c:v>0.87841469907139924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2-D642-A142-418BC8AE3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039727"/>
        <c:axId val="629802527"/>
      </c:scatterChart>
      <c:valAx>
        <c:axId val="6300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 Ratio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2527"/>
        <c:crosses val="autoZero"/>
        <c:crossBetween val="midCat"/>
      </c:valAx>
      <c:valAx>
        <c:axId val="6298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After 1 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972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Q1 P/E Ratio to Q2 Stock Price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 Ratio below 15'!$N$1</c:f>
              <c:strCache>
                <c:ptCount val="1"/>
                <c:pt idx="0">
                  <c:v>2025-03-31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'PE Ratio below 15'!$O$3:$O$96</c:f>
              <c:numCache>
                <c:formatCode>General</c:formatCode>
                <c:ptCount val="94"/>
                <c:pt idx="0">
                  <c:v>13.575187199552291</c:v>
                </c:pt>
                <c:pt idx="1">
                  <c:v>13.7149152621417</c:v>
                </c:pt>
                <c:pt idx="2">
                  <c:v>5.2049577236175537</c:v>
                </c:pt>
                <c:pt idx="3">
                  <c:v>13.63756295406457</c:v>
                </c:pt>
                <c:pt idx="4">
                  <c:v>11.103851287091359</c:v>
                </c:pt>
                <c:pt idx="5">
                  <c:v>12.46366782266586</c:v>
                </c:pt>
                <c:pt idx="6">
                  <c:v>11.275483225728131</c:v>
                </c:pt>
                <c:pt idx="7">
                  <c:v>12.915247791218309</c:v>
                </c:pt>
                <c:pt idx="8">
                  <c:v>11.995275355567619</c:v>
                </c:pt>
                <c:pt idx="9">
                  <c:v>12.463127990915041</c:v>
                </c:pt>
                <c:pt idx="10">
                  <c:v>12.83013669052565</c:v>
                </c:pt>
                <c:pt idx="11">
                  <c:v>5.7490529436053652</c:v>
                </c:pt>
                <c:pt idx="12">
                  <c:v>10.375937384528079</c:v>
                </c:pt>
                <c:pt idx="13">
                  <c:v>10.725552933041239</c:v>
                </c:pt>
                <c:pt idx="14">
                  <c:v>8.710219212727063</c:v>
                </c:pt>
                <c:pt idx="15">
                  <c:v>12.75717172867212</c:v>
                </c:pt>
                <c:pt idx="16">
                  <c:v>14.09343747950312</c:v>
                </c:pt>
                <c:pt idx="17">
                  <c:v>9.2122951356444105</c:v>
                </c:pt>
                <c:pt idx="18">
                  <c:v>11.472221340299191</c:v>
                </c:pt>
                <c:pt idx="19">
                  <c:v>11.93121851018045</c:v>
                </c:pt>
                <c:pt idx="20">
                  <c:v>10.347900671117451</c:v>
                </c:pt>
                <c:pt idx="21">
                  <c:v>12.886177279515341</c:v>
                </c:pt>
                <c:pt idx="22">
                  <c:v>11.57098729559716</c:v>
                </c:pt>
                <c:pt idx="23">
                  <c:v>11.898139854530241</c:v>
                </c:pt>
                <c:pt idx="24">
                  <c:v>8.1036885579427089</c:v>
                </c:pt>
                <c:pt idx="25">
                  <c:v>12.083351478148041</c:v>
                </c:pt>
                <c:pt idx="26">
                  <c:v>11.656832250749099</c:v>
                </c:pt>
                <c:pt idx="27">
                  <c:v>12.162783707430931</c:v>
                </c:pt>
                <c:pt idx="28">
                  <c:v>13.448658472375021</c:v>
                </c:pt>
                <c:pt idx="29">
                  <c:v>3.7155110458905831</c:v>
                </c:pt>
                <c:pt idx="30">
                  <c:v>11.072559770614079</c:v>
                </c:pt>
                <c:pt idx="31">
                  <c:v>11.62183589505074</c:v>
                </c:pt>
                <c:pt idx="32">
                  <c:v>9.9975681304931641</c:v>
                </c:pt>
                <c:pt idx="33">
                  <c:v>12.47392450755202</c:v>
                </c:pt>
                <c:pt idx="34">
                  <c:v>13.445146318892361</c:v>
                </c:pt>
                <c:pt idx="35">
                  <c:v>12.4869329887524</c:v>
                </c:pt>
                <c:pt idx="36">
                  <c:v>3.431368154637954</c:v>
                </c:pt>
                <c:pt idx="37">
                  <c:v>10.70888706895172</c:v>
                </c:pt>
                <c:pt idx="38">
                  <c:v>9.4389273660224777</c:v>
                </c:pt>
                <c:pt idx="39">
                  <c:v>14.01521437758699</c:v>
                </c:pt>
                <c:pt idx="40">
                  <c:v>12.96840412118005</c:v>
                </c:pt>
                <c:pt idx="41">
                  <c:v>9.7166381563459137</c:v>
                </c:pt>
                <c:pt idx="42">
                  <c:v>6.3484502694308462</c:v>
                </c:pt>
                <c:pt idx="43">
                  <c:v>10.736047520357021</c:v>
                </c:pt>
                <c:pt idx="44">
                  <c:v>13.253813368663939</c:v>
                </c:pt>
                <c:pt idx="45">
                  <c:v>9.6648724455582471</c:v>
                </c:pt>
                <c:pt idx="46">
                  <c:v>8.8689431009565673</c:v>
                </c:pt>
                <c:pt idx="47">
                  <c:v>11.829295120839999</c:v>
                </c:pt>
                <c:pt idx="48">
                  <c:v>11.354080368490781</c:v>
                </c:pt>
                <c:pt idx="49">
                  <c:v>12.118337949117031</c:v>
                </c:pt>
                <c:pt idx="50">
                  <c:v>12.8206414442796</c:v>
                </c:pt>
                <c:pt idx="51">
                  <c:v>12.68583223657701</c:v>
                </c:pt>
                <c:pt idx="52">
                  <c:v>12.005467568674391</c:v>
                </c:pt>
                <c:pt idx="53">
                  <c:v>14.4477620416758</c:v>
                </c:pt>
                <c:pt idx="54">
                  <c:v>14.96993182456657</c:v>
                </c:pt>
                <c:pt idx="55">
                  <c:v>13.179759321541621</c:v>
                </c:pt>
                <c:pt idx="56">
                  <c:v>13.11713668319198</c:v>
                </c:pt>
                <c:pt idx="57">
                  <c:v>10.806313962953389</c:v>
                </c:pt>
                <c:pt idx="58">
                  <c:v>14.24999970656175</c:v>
                </c:pt>
                <c:pt idx="59">
                  <c:v>14.922029563023949</c:v>
                </c:pt>
                <c:pt idx="60">
                  <c:v>10.90145620680947</c:v>
                </c:pt>
                <c:pt idx="61">
                  <c:v>8.8080895741780605</c:v>
                </c:pt>
                <c:pt idx="62">
                  <c:v>12.883597505306771</c:v>
                </c:pt>
                <c:pt idx="63">
                  <c:v>7.1066873414175857</c:v>
                </c:pt>
                <c:pt idx="64">
                  <c:v>9.7232998007594951</c:v>
                </c:pt>
                <c:pt idx="65">
                  <c:v>12.665611786368011</c:v>
                </c:pt>
                <c:pt idx="66">
                  <c:v>6.39079119708087</c:v>
                </c:pt>
                <c:pt idx="67">
                  <c:v>14.982416600356871</c:v>
                </c:pt>
                <c:pt idx="68">
                  <c:v>13.79590230445339</c:v>
                </c:pt>
                <c:pt idx="69">
                  <c:v>12.423570647494479</c:v>
                </c:pt>
                <c:pt idx="70">
                  <c:v>11.35823543255146</c:v>
                </c:pt>
                <c:pt idx="71">
                  <c:v>12.04486651854082</c:v>
                </c:pt>
                <c:pt idx="72">
                  <c:v>13.70755312394123</c:v>
                </c:pt>
                <c:pt idx="73">
                  <c:v>9.8649949180573575</c:v>
                </c:pt>
                <c:pt idx="74">
                  <c:v>14.809498506433821</c:v>
                </c:pt>
                <c:pt idx="75">
                  <c:v>14.221636190453999</c:v>
                </c:pt>
                <c:pt idx="76">
                  <c:v>10.317335876764041</c:v>
                </c:pt>
                <c:pt idx="77">
                  <c:v>13.12739729881287</c:v>
                </c:pt>
                <c:pt idx="78">
                  <c:v>12.541493752019869</c:v>
                </c:pt>
                <c:pt idx="79">
                  <c:v>14.93358483185639</c:v>
                </c:pt>
                <c:pt idx="80">
                  <c:v>10.49851219435245</c:v>
                </c:pt>
                <c:pt idx="81">
                  <c:v>6.8330175589516529</c:v>
                </c:pt>
                <c:pt idx="82">
                  <c:v>10.2863418224246</c:v>
                </c:pt>
                <c:pt idx="83">
                  <c:v>11.052943949113811</c:v>
                </c:pt>
                <c:pt idx="84">
                  <c:v>11.26593893224543</c:v>
                </c:pt>
                <c:pt idx="85">
                  <c:v>9.9320041323171075</c:v>
                </c:pt>
                <c:pt idx="86">
                  <c:v>13.636161032177149</c:v>
                </c:pt>
                <c:pt idx="87">
                  <c:v>14.608204596043031</c:v>
                </c:pt>
                <c:pt idx="88">
                  <c:v>9.6171408463307717</c:v>
                </c:pt>
                <c:pt idx="89">
                  <c:v>9.1494856209590516</c:v>
                </c:pt>
                <c:pt idx="90">
                  <c:v>13.483480590483101</c:v>
                </c:pt>
                <c:pt idx="91">
                  <c:v>11.65639057494047</c:v>
                </c:pt>
                <c:pt idx="92">
                  <c:v>12.519514476153869</c:v>
                </c:pt>
                <c:pt idx="93">
                  <c:v>6.8964899402775179</c:v>
                </c:pt>
              </c:numCache>
            </c:numRef>
          </c:xVal>
          <c:yVal>
            <c:numRef>
              <c:f>'PE Ratio below 15'!$R$3:$R$96</c:f>
              <c:numCache>
                <c:formatCode>General</c:formatCode>
                <c:ptCount val="94"/>
                <c:pt idx="0">
                  <c:v>0.14099422583927237</c:v>
                </c:pt>
                <c:pt idx="1">
                  <c:v>0.1368061220282481</c:v>
                </c:pt>
                <c:pt idx="2">
                  <c:v>-0.11561190590978301</c:v>
                </c:pt>
                <c:pt idx="3">
                  <c:v>0.26509485999914767</c:v>
                </c:pt>
                <c:pt idx="4">
                  <c:v>3.4199703577882531E-2</c:v>
                </c:pt>
                <c:pt idx="5">
                  <c:v>2.5050197231543283E-3</c:v>
                </c:pt>
                <c:pt idx="6">
                  <c:v>0.14063891698135339</c:v>
                </c:pt>
                <c:pt idx="7">
                  <c:v>9.3053543892460816E-2</c:v>
                </c:pt>
                <c:pt idx="8">
                  <c:v>-0.23279639989384562</c:v>
                </c:pt>
                <c:pt idx="9">
                  <c:v>5.9606761107362488E-2</c:v>
                </c:pt>
                <c:pt idx="10">
                  <c:v>0.19040233843835544</c:v>
                </c:pt>
                <c:pt idx="11">
                  <c:v>-0.10591336521400696</c:v>
                </c:pt>
                <c:pt idx="12">
                  <c:v>0.18410999564585001</c:v>
                </c:pt>
                <c:pt idx="13">
                  <c:v>0.10929910431367511</c:v>
                </c:pt>
                <c:pt idx="14">
                  <c:v>0.20863032830367004</c:v>
                </c:pt>
                <c:pt idx="15">
                  <c:v>0.10461786586369846</c:v>
                </c:pt>
                <c:pt idx="16">
                  <c:v>2.389749938568592E-2</c:v>
                </c:pt>
                <c:pt idx="17">
                  <c:v>-2.4020403681795546E-2</c:v>
                </c:pt>
                <c:pt idx="18">
                  <c:v>-0.13822369947471466</c:v>
                </c:pt>
                <c:pt idx="19">
                  <c:v>-8.4860487146244681E-2</c:v>
                </c:pt>
                <c:pt idx="20">
                  <c:v>-0.11399628184014883</c:v>
                </c:pt>
                <c:pt idx="21">
                  <c:v>5.0800259992575029E-2</c:v>
                </c:pt>
                <c:pt idx="22">
                  <c:v>2.8651569996844681E-2</c:v>
                </c:pt>
                <c:pt idx="23">
                  <c:v>-0.14347734890596031</c:v>
                </c:pt>
                <c:pt idx="24">
                  <c:v>-0.13463008246162725</c:v>
                </c:pt>
                <c:pt idx="25">
                  <c:v>0.3092016035361087</c:v>
                </c:pt>
                <c:pt idx="26">
                  <c:v>0.31930200237306999</c:v>
                </c:pt>
                <c:pt idx="27">
                  <c:v>1.7321231229317755E-2</c:v>
                </c:pt>
                <c:pt idx="28">
                  <c:v>-0.14364716661222582</c:v>
                </c:pt>
                <c:pt idx="29">
                  <c:v>-0.11078846060683478</c:v>
                </c:pt>
                <c:pt idx="30">
                  <c:v>-0.10181479921745405</c:v>
                </c:pt>
                <c:pt idx="31">
                  <c:v>-5.8757334316887101E-2</c:v>
                </c:pt>
                <c:pt idx="32">
                  <c:v>3.704011780106805E-2</c:v>
                </c:pt>
                <c:pt idx="33">
                  <c:v>-4.9314516557473549E-2</c:v>
                </c:pt>
                <c:pt idx="34">
                  <c:v>5.8671219288608717E-2</c:v>
                </c:pt>
                <c:pt idx="35">
                  <c:v>-0.12441878880826616</c:v>
                </c:pt>
                <c:pt idx="36">
                  <c:v>4.9685732575264825E-2</c:v>
                </c:pt>
                <c:pt idx="37">
                  <c:v>-5.4489367479641469E-2</c:v>
                </c:pt>
                <c:pt idx="38">
                  <c:v>0.30201507651645776</c:v>
                </c:pt>
                <c:pt idx="39">
                  <c:v>2.9500908908792395E-2</c:v>
                </c:pt>
                <c:pt idx="40">
                  <c:v>0.1108220803080093</c:v>
                </c:pt>
                <c:pt idx="41">
                  <c:v>9.4822612901898043E-2</c:v>
                </c:pt>
                <c:pt idx="42">
                  <c:v>-7.2618138282663239E-2</c:v>
                </c:pt>
                <c:pt idx="43">
                  <c:v>0.12772251644711438</c:v>
                </c:pt>
                <c:pt idx="44">
                  <c:v>0.19058118522889383</c:v>
                </c:pt>
                <c:pt idx="45">
                  <c:v>5.3690817261272943E-2</c:v>
                </c:pt>
                <c:pt idx="46">
                  <c:v>-7.1035213799614902E-2</c:v>
                </c:pt>
                <c:pt idx="47">
                  <c:v>0.18913853208143808</c:v>
                </c:pt>
                <c:pt idx="48">
                  <c:v>0.10389078609588492</c:v>
                </c:pt>
                <c:pt idx="49">
                  <c:v>-0.13874532918146548</c:v>
                </c:pt>
                <c:pt idx="50">
                  <c:v>6.4820173351074553E-2</c:v>
                </c:pt>
                <c:pt idx="51">
                  <c:v>-2.0247905262642647E-2</c:v>
                </c:pt>
                <c:pt idx="52">
                  <c:v>0.17225570520398475</c:v>
                </c:pt>
                <c:pt idx="53">
                  <c:v>-3.184483165657287E-2</c:v>
                </c:pt>
                <c:pt idx="54">
                  <c:v>4.3921596881903981E-2</c:v>
                </c:pt>
                <c:pt idx="55">
                  <c:v>-2.0141587450186647E-3</c:v>
                </c:pt>
                <c:pt idx="56">
                  <c:v>9.3340297823660975E-2</c:v>
                </c:pt>
                <c:pt idx="57">
                  <c:v>-0.10926265751146724</c:v>
                </c:pt>
                <c:pt idx="58">
                  <c:v>0.1602564135564355</c:v>
                </c:pt>
                <c:pt idx="59">
                  <c:v>-9.5601018098750989E-2</c:v>
                </c:pt>
                <c:pt idx="60">
                  <c:v>0.21702424843319901</c:v>
                </c:pt>
                <c:pt idx="61">
                  <c:v>0.35872926138559846</c:v>
                </c:pt>
                <c:pt idx="62">
                  <c:v>0.22077953968728878</c:v>
                </c:pt>
                <c:pt idx="63">
                  <c:v>0.21236013976937015</c:v>
                </c:pt>
                <c:pt idx="64">
                  <c:v>1.3379460698271195E-2</c:v>
                </c:pt>
                <c:pt idx="65">
                  <c:v>0.29436874774209526</c:v>
                </c:pt>
                <c:pt idx="66">
                  <c:v>0.68895247633431733</c:v>
                </c:pt>
                <c:pt idx="67">
                  <c:v>-0.14415575189638502</c:v>
                </c:pt>
                <c:pt idx="68">
                  <c:v>-0.12373939628897812</c:v>
                </c:pt>
                <c:pt idx="69">
                  <c:v>0.13900380921776084</c:v>
                </c:pt>
                <c:pt idx="70">
                  <c:v>-2.5160474754028207E-2</c:v>
                </c:pt>
                <c:pt idx="71">
                  <c:v>7.16246176231604E-2</c:v>
                </c:pt>
                <c:pt idx="72">
                  <c:v>-2.5785636077045437E-2</c:v>
                </c:pt>
                <c:pt idx="73">
                  <c:v>2.8083864005969208E-2</c:v>
                </c:pt>
                <c:pt idx="74">
                  <c:v>4.3009439512290519E-2</c:v>
                </c:pt>
                <c:pt idx="75">
                  <c:v>0.10808467804541426</c:v>
                </c:pt>
                <c:pt idx="76">
                  <c:v>9.5144569298028697E-2</c:v>
                </c:pt>
                <c:pt idx="77">
                  <c:v>0.70802154256529171</c:v>
                </c:pt>
                <c:pt idx="78">
                  <c:v>7.1007467058975288E-2</c:v>
                </c:pt>
                <c:pt idx="79">
                  <c:v>-3.3454211933575194E-2</c:v>
                </c:pt>
                <c:pt idx="80">
                  <c:v>0.19792729106262708</c:v>
                </c:pt>
                <c:pt idx="81">
                  <c:v>0.26769188409643485</c:v>
                </c:pt>
                <c:pt idx="82">
                  <c:v>6.4693786836041378E-2</c:v>
                </c:pt>
                <c:pt idx="83">
                  <c:v>-4.390781681281844E-2</c:v>
                </c:pt>
                <c:pt idx="84">
                  <c:v>5.8629748518845747E-2</c:v>
                </c:pt>
                <c:pt idx="85">
                  <c:v>8.3606952431249104E-2</c:v>
                </c:pt>
                <c:pt idx="86">
                  <c:v>0.27631362584770719</c:v>
                </c:pt>
                <c:pt idx="87">
                  <c:v>0.15322221193429506</c:v>
                </c:pt>
                <c:pt idx="88">
                  <c:v>-3.4909317662785017E-2</c:v>
                </c:pt>
                <c:pt idx="89">
                  <c:v>-3.0754086635229168E-2</c:v>
                </c:pt>
                <c:pt idx="90">
                  <c:v>0.26179165304512991</c:v>
                </c:pt>
                <c:pt idx="91">
                  <c:v>-3.554484903841925E-2</c:v>
                </c:pt>
                <c:pt idx="92">
                  <c:v>0.12215567322405765</c:v>
                </c:pt>
                <c:pt idx="93">
                  <c:v>0.58568470619524704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8-DB4A-ACD5-D5D162CCF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039727"/>
        <c:axId val="629802527"/>
      </c:scatterChart>
      <c:valAx>
        <c:axId val="6300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 Ratio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2527"/>
        <c:crosses val="autoZero"/>
        <c:crossBetween val="midCat"/>
      </c:valAx>
      <c:valAx>
        <c:axId val="6298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After 1 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972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 2024 Q4 P/E Ratio to Q1 Stock Price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 Ratio below 15'!$T$1</c:f>
              <c:strCache>
                <c:ptCount val="1"/>
                <c:pt idx="0">
                  <c:v>2024-12-30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'PE Ratio below 15'!$U$3:$U$115</c:f>
              <c:numCache>
                <c:formatCode>General</c:formatCode>
                <c:ptCount val="113"/>
                <c:pt idx="0">
                  <c:v>5.1667817049666853</c:v>
                </c:pt>
                <c:pt idx="1">
                  <c:v>3.771531430980827</c:v>
                </c:pt>
                <c:pt idx="2">
                  <c:v>7.3224328285039846</c:v>
                </c:pt>
                <c:pt idx="3">
                  <c:v>6.5936909041591196</c:v>
                </c:pt>
                <c:pt idx="4">
                  <c:v>6.7588462409142354</c:v>
                </c:pt>
                <c:pt idx="5">
                  <c:v>11.98655892921977</c:v>
                </c:pt>
                <c:pt idx="6">
                  <c:v>12.125689188639321</c:v>
                </c:pt>
                <c:pt idx="7">
                  <c:v>5.4930632313092556</c:v>
                </c:pt>
                <c:pt idx="8">
                  <c:v>13.18201767770868</c:v>
                </c:pt>
                <c:pt idx="9">
                  <c:v>9.2631047771823027</c:v>
                </c:pt>
                <c:pt idx="10">
                  <c:v>10.1563767689501</c:v>
                </c:pt>
                <c:pt idx="11">
                  <c:v>13.435623639653461</c:v>
                </c:pt>
                <c:pt idx="12">
                  <c:v>9.5490217208862287</c:v>
                </c:pt>
                <c:pt idx="13">
                  <c:v>8.4208248042258891</c:v>
                </c:pt>
                <c:pt idx="14">
                  <c:v>12.926515326442489</c:v>
                </c:pt>
                <c:pt idx="15">
                  <c:v>10.95702215353778</c:v>
                </c:pt>
                <c:pt idx="16">
                  <c:v>12.03631132076948</c:v>
                </c:pt>
                <c:pt idx="17">
                  <c:v>4.1331467801579747</c:v>
                </c:pt>
                <c:pt idx="18">
                  <c:v>5.8590686279722206</c:v>
                </c:pt>
                <c:pt idx="19">
                  <c:v>10.85347271470166</c:v>
                </c:pt>
                <c:pt idx="20">
                  <c:v>8.3134688148202827</c:v>
                </c:pt>
                <c:pt idx="21">
                  <c:v>10.809354569847869</c:v>
                </c:pt>
                <c:pt idx="22">
                  <c:v>13.138334932383041</c:v>
                </c:pt>
                <c:pt idx="23">
                  <c:v>13.505215442318709</c:v>
                </c:pt>
                <c:pt idx="24">
                  <c:v>12.610362154263489</c:v>
                </c:pt>
                <c:pt idx="25">
                  <c:v>12.635852629879871</c:v>
                </c:pt>
                <c:pt idx="26">
                  <c:v>12.45419091416149</c:v>
                </c:pt>
                <c:pt idx="27">
                  <c:v>6.6145315133968756</c:v>
                </c:pt>
                <c:pt idx="28">
                  <c:v>10.735054016113279</c:v>
                </c:pt>
                <c:pt idx="29">
                  <c:v>12.347846784089739</c:v>
                </c:pt>
                <c:pt idx="30">
                  <c:v>7.9759859856758402</c:v>
                </c:pt>
                <c:pt idx="31">
                  <c:v>11.77594286840667</c:v>
                </c:pt>
                <c:pt idx="32">
                  <c:v>12.746229608074451</c:v>
                </c:pt>
                <c:pt idx="33">
                  <c:v>11.45028849594466</c:v>
                </c:pt>
                <c:pt idx="34">
                  <c:v>7.9344910018298096</c:v>
                </c:pt>
                <c:pt idx="35">
                  <c:v>10.66319520207127</c:v>
                </c:pt>
                <c:pt idx="36">
                  <c:v>4.399532984867478</c:v>
                </c:pt>
                <c:pt idx="37">
                  <c:v>13.11029064338017</c:v>
                </c:pt>
                <c:pt idx="38">
                  <c:v>7.6137750190601006</c:v>
                </c:pt>
                <c:pt idx="39">
                  <c:v>10.686300184343249</c:v>
                </c:pt>
                <c:pt idx="40">
                  <c:v>12.82765960693359</c:v>
                </c:pt>
                <c:pt idx="41">
                  <c:v>14.10093944984604</c:v>
                </c:pt>
                <c:pt idx="42">
                  <c:v>14.82789017433344</c:v>
                </c:pt>
                <c:pt idx="43">
                  <c:v>11.87770533007245</c:v>
                </c:pt>
                <c:pt idx="44">
                  <c:v>12.1301094907506</c:v>
                </c:pt>
                <c:pt idx="45">
                  <c:v>6.2151451368589656</c:v>
                </c:pt>
                <c:pt idx="46">
                  <c:v>14.932876163058809</c:v>
                </c:pt>
                <c:pt idx="47">
                  <c:v>14.078004860583651</c:v>
                </c:pt>
                <c:pt idx="48">
                  <c:v>12.40890237349498</c:v>
                </c:pt>
                <c:pt idx="49">
                  <c:v>10.446834564208981</c:v>
                </c:pt>
                <c:pt idx="50">
                  <c:v>8.2341098046117978</c:v>
                </c:pt>
                <c:pt idx="51">
                  <c:v>12.115420282414529</c:v>
                </c:pt>
                <c:pt idx="52">
                  <c:v>8.9490790116159538</c:v>
                </c:pt>
                <c:pt idx="53">
                  <c:v>11.584480203878551</c:v>
                </c:pt>
                <c:pt idx="54">
                  <c:v>9.3507521493094305</c:v>
                </c:pt>
                <c:pt idx="55">
                  <c:v>9.1685571768178065</c:v>
                </c:pt>
                <c:pt idx="56">
                  <c:v>12.872759395168661</c:v>
                </c:pt>
                <c:pt idx="57">
                  <c:v>10.13119415964737</c:v>
                </c:pt>
                <c:pt idx="58">
                  <c:v>11.576836903889969</c:v>
                </c:pt>
                <c:pt idx="59">
                  <c:v>13.018902937571211</c:v>
                </c:pt>
                <c:pt idx="60">
                  <c:v>11.55868558322682</c:v>
                </c:pt>
                <c:pt idx="61">
                  <c:v>14.611034090556799</c:v>
                </c:pt>
                <c:pt idx="62">
                  <c:v>9.0973988823268712</c:v>
                </c:pt>
                <c:pt idx="63">
                  <c:v>12.100958923086591</c:v>
                </c:pt>
                <c:pt idx="64">
                  <c:v>4.0460516503975219</c:v>
                </c:pt>
                <c:pt idx="65">
                  <c:v>7.9825546941146479</c:v>
                </c:pt>
                <c:pt idx="66">
                  <c:v>14.588127136230471</c:v>
                </c:pt>
                <c:pt idx="67">
                  <c:v>11.79196465875685</c:v>
                </c:pt>
                <c:pt idx="68">
                  <c:v>12.642410823277061</c:v>
                </c:pt>
                <c:pt idx="69">
                  <c:v>11.125523856516629</c:v>
                </c:pt>
                <c:pt idx="70">
                  <c:v>12.653471174694239</c:v>
                </c:pt>
                <c:pt idx="71">
                  <c:v>9.7927461351667144</c:v>
                </c:pt>
                <c:pt idx="72">
                  <c:v>10.931380468470451</c:v>
                </c:pt>
                <c:pt idx="73">
                  <c:v>4.9786732991536464</c:v>
                </c:pt>
                <c:pt idx="74">
                  <c:v>13.591641743977871</c:v>
                </c:pt>
                <c:pt idx="75">
                  <c:v>10.97427853998148</c:v>
                </c:pt>
                <c:pt idx="76">
                  <c:v>7.3353105975735584</c:v>
                </c:pt>
                <c:pt idx="77">
                  <c:v>11.01217479957883</c:v>
                </c:pt>
                <c:pt idx="78">
                  <c:v>11.09913793103448</c:v>
                </c:pt>
                <c:pt idx="79">
                  <c:v>13.641984718595671</c:v>
                </c:pt>
                <c:pt idx="80">
                  <c:v>9.0694276910079168</c:v>
                </c:pt>
                <c:pt idx="81">
                  <c:v>12.217767042569839</c:v>
                </c:pt>
                <c:pt idx="82">
                  <c:v>10.981393247798771</c:v>
                </c:pt>
                <c:pt idx="83">
                  <c:v>6.0400939361094368</c:v>
                </c:pt>
                <c:pt idx="84">
                  <c:v>13.216392143622979</c:v>
                </c:pt>
                <c:pt idx="85">
                  <c:v>12.04417332881639</c:v>
                </c:pt>
                <c:pt idx="86">
                  <c:v>12.993941015126749</c:v>
                </c:pt>
                <c:pt idx="87">
                  <c:v>10.12281349727086</c:v>
                </c:pt>
                <c:pt idx="88">
                  <c:v>11.76472537868576</c:v>
                </c:pt>
                <c:pt idx="89">
                  <c:v>13.43082838420627</c:v>
                </c:pt>
                <c:pt idx="90">
                  <c:v>14.7810884224352</c:v>
                </c:pt>
                <c:pt idx="91">
                  <c:v>9.4684471130371097</c:v>
                </c:pt>
                <c:pt idx="92">
                  <c:v>14.203703844988789</c:v>
                </c:pt>
                <c:pt idx="93">
                  <c:v>8.2789470494719986</c:v>
                </c:pt>
                <c:pt idx="94">
                  <c:v>14.00571536523691</c:v>
                </c:pt>
                <c:pt idx="95">
                  <c:v>11.48482789384558</c:v>
                </c:pt>
                <c:pt idx="96">
                  <c:v>13.361954491985729</c:v>
                </c:pt>
                <c:pt idx="97">
                  <c:v>6.4769736498299864</c:v>
                </c:pt>
                <c:pt idx="98">
                  <c:v>11.230356796928071</c:v>
                </c:pt>
                <c:pt idx="99">
                  <c:v>13.392518793494959</c:v>
                </c:pt>
                <c:pt idx="100">
                  <c:v>11.31980253918336</c:v>
                </c:pt>
                <c:pt idx="101">
                  <c:v>4.6460244998290268</c:v>
                </c:pt>
                <c:pt idx="102">
                  <c:v>12.80588217342601</c:v>
                </c:pt>
                <c:pt idx="103">
                  <c:v>8.1733586857372824</c:v>
                </c:pt>
                <c:pt idx="104">
                  <c:v>14.512415215520569</c:v>
                </c:pt>
                <c:pt idx="105">
                  <c:v>8.7592333731566647</c:v>
                </c:pt>
                <c:pt idx="106">
                  <c:v>7.6507071487042086</c:v>
                </c:pt>
                <c:pt idx="107">
                  <c:v>11.81299193152066</c:v>
                </c:pt>
                <c:pt idx="108">
                  <c:v>9.8270186062516842</c:v>
                </c:pt>
                <c:pt idx="109">
                  <c:v>11.88146920039736</c:v>
                </c:pt>
                <c:pt idx="110">
                  <c:v>6.6803631328401112</c:v>
                </c:pt>
                <c:pt idx="111">
                  <c:v>6.267802746264965</c:v>
                </c:pt>
                <c:pt idx="112">
                  <c:v>8.3011023700237274</c:v>
                </c:pt>
              </c:numCache>
            </c:numRef>
          </c:xVal>
          <c:yVal>
            <c:numRef>
              <c:f>'PE Ratio below 15'!$X$3:$X$115</c:f>
              <c:numCache>
                <c:formatCode>General</c:formatCode>
                <c:ptCount val="113"/>
                <c:pt idx="0">
                  <c:v>0.18214621858006194</c:v>
                </c:pt>
                <c:pt idx="1">
                  <c:v>-2.6057516341959808E-3</c:v>
                </c:pt>
                <c:pt idx="2">
                  <c:v>8.5869866372910233E-2</c:v>
                </c:pt>
                <c:pt idx="3">
                  <c:v>8.0793242746970098E-2</c:v>
                </c:pt>
                <c:pt idx="4">
                  <c:v>0.17321532467295958</c:v>
                </c:pt>
                <c:pt idx="5">
                  <c:v>0.20414006827862421</c:v>
                </c:pt>
                <c:pt idx="6">
                  <c:v>-8.5000256920332681E-2</c:v>
                </c:pt>
                <c:pt idx="7">
                  <c:v>-5.2448969829723087E-2</c:v>
                </c:pt>
                <c:pt idx="8">
                  <c:v>-1.0148071937409265E-2</c:v>
                </c:pt>
                <c:pt idx="9">
                  <c:v>4.6686265578652505E-2</c:v>
                </c:pt>
                <c:pt idx="10">
                  <c:v>-3.0416078111379516E-2</c:v>
                </c:pt>
                <c:pt idx="11">
                  <c:v>-8.1843127193978286E-3</c:v>
                </c:pt>
                <c:pt idx="12">
                  <c:v>0.26664981336529198</c:v>
                </c:pt>
                <c:pt idx="13">
                  <c:v>7.8755649151738605E-2</c:v>
                </c:pt>
                <c:pt idx="14">
                  <c:v>-4.3649701604774327E-2</c:v>
                </c:pt>
                <c:pt idx="15">
                  <c:v>0.17785742386854439</c:v>
                </c:pt>
                <c:pt idx="16">
                  <c:v>9.3658812092597091E-2</c:v>
                </c:pt>
                <c:pt idx="17">
                  <c:v>3.5672529933778304E-3</c:v>
                </c:pt>
                <c:pt idx="18">
                  <c:v>-7.0790021391353333E-2</c:v>
                </c:pt>
                <c:pt idx="19">
                  <c:v>-6.4231228741376017E-2</c:v>
                </c:pt>
                <c:pt idx="20">
                  <c:v>7.3867960383882478E-2</c:v>
                </c:pt>
                <c:pt idx="21">
                  <c:v>9.9979478050995038E-2</c:v>
                </c:pt>
                <c:pt idx="22">
                  <c:v>0.20162950657263221</c:v>
                </c:pt>
                <c:pt idx="23">
                  <c:v>3.8199420987575214E-2</c:v>
                </c:pt>
                <c:pt idx="24">
                  <c:v>1.5507677199167394E-2</c:v>
                </c:pt>
                <c:pt idx="25">
                  <c:v>-5.1218167951856158E-2</c:v>
                </c:pt>
                <c:pt idx="26">
                  <c:v>-0.32606825257129352</c:v>
                </c:pt>
                <c:pt idx="27">
                  <c:v>-4.8074565696172543E-3</c:v>
                </c:pt>
                <c:pt idx="28">
                  <c:v>-1.8262082775138595E-2</c:v>
                </c:pt>
                <c:pt idx="29">
                  <c:v>9.0454496416462263E-2</c:v>
                </c:pt>
                <c:pt idx="30">
                  <c:v>0.56147074366858951</c:v>
                </c:pt>
                <c:pt idx="31">
                  <c:v>2.1229775533107533E-2</c:v>
                </c:pt>
                <c:pt idx="32">
                  <c:v>-0.20296911259379044</c:v>
                </c:pt>
                <c:pt idx="33">
                  <c:v>-0.28020012319029292</c:v>
                </c:pt>
                <c:pt idx="34">
                  <c:v>0.17821526988624581</c:v>
                </c:pt>
                <c:pt idx="35">
                  <c:v>1.7604528594412553E-4</c:v>
                </c:pt>
                <c:pt idx="36">
                  <c:v>-5.4628556720701681E-2</c:v>
                </c:pt>
                <c:pt idx="37">
                  <c:v>-8.6381932352975657E-2</c:v>
                </c:pt>
                <c:pt idx="38">
                  <c:v>-2.0755474739029316E-2</c:v>
                </c:pt>
                <c:pt idx="39">
                  <c:v>9.6311661481332772E-2</c:v>
                </c:pt>
                <c:pt idx="40">
                  <c:v>7.1091148281044264E-2</c:v>
                </c:pt>
                <c:pt idx="41">
                  <c:v>0.23594874673489621</c:v>
                </c:pt>
                <c:pt idx="42">
                  <c:v>0.13458572032631369</c:v>
                </c:pt>
                <c:pt idx="43">
                  <c:v>-6.5470783273528899E-2</c:v>
                </c:pt>
                <c:pt idx="44">
                  <c:v>-0.28999834275864378</c:v>
                </c:pt>
                <c:pt idx="45">
                  <c:v>4.8358065229501361E-2</c:v>
                </c:pt>
                <c:pt idx="46">
                  <c:v>0.16447861251276985</c:v>
                </c:pt>
                <c:pt idx="47">
                  <c:v>0.14978082069196497</c:v>
                </c:pt>
                <c:pt idx="48">
                  <c:v>2.7266160629814018E-2</c:v>
                </c:pt>
                <c:pt idx="49">
                  <c:v>-4.7116344579441263E-2</c:v>
                </c:pt>
                <c:pt idx="50">
                  <c:v>-0.12132179132007455</c:v>
                </c:pt>
                <c:pt idx="51">
                  <c:v>-0.11408203058197162</c:v>
                </c:pt>
                <c:pt idx="52">
                  <c:v>0.20058317254840349</c:v>
                </c:pt>
                <c:pt idx="53">
                  <c:v>-4.2805585169976401E-2</c:v>
                </c:pt>
                <c:pt idx="54">
                  <c:v>-5.2305083629563084E-2</c:v>
                </c:pt>
                <c:pt idx="55">
                  <c:v>0.13733294822657044</c:v>
                </c:pt>
                <c:pt idx="56">
                  <c:v>0.16054780259950904</c:v>
                </c:pt>
                <c:pt idx="57">
                  <c:v>2.2704564569828518E-2</c:v>
                </c:pt>
                <c:pt idx="58">
                  <c:v>-0.27315008300935989</c:v>
                </c:pt>
                <c:pt idx="59">
                  <c:v>-0.14273789736039358</c:v>
                </c:pt>
                <c:pt idx="60">
                  <c:v>-7.1170554553673257E-2</c:v>
                </c:pt>
                <c:pt idx="61">
                  <c:v>9.1411568925084508E-2</c:v>
                </c:pt>
                <c:pt idx="62">
                  <c:v>-0.12238375309317755</c:v>
                </c:pt>
                <c:pt idx="63">
                  <c:v>3.0281150249176474E-2</c:v>
                </c:pt>
                <c:pt idx="64">
                  <c:v>1.5288860385312433E-2</c:v>
                </c:pt>
                <c:pt idx="65">
                  <c:v>-0.126246929390398</c:v>
                </c:pt>
                <c:pt idx="66">
                  <c:v>0.182830656077932</c:v>
                </c:pt>
                <c:pt idx="67">
                  <c:v>-4.5303384374029414E-2</c:v>
                </c:pt>
                <c:pt idx="68">
                  <c:v>-4.3217759252014931E-2</c:v>
                </c:pt>
                <c:pt idx="69">
                  <c:v>-8.6476526052659507E-3</c:v>
                </c:pt>
                <c:pt idx="70">
                  <c:v>1.9846793595751221E-2</c:v>
                </c:pt>
                <c:pt idx="71">
                  <c:v>7.8314034947864791E-2</c:v>
                </c:pt>
                <c:pt idx="72">
                  <c:v>0.15627340463548792</c:v>
                </c:pt>
                <c:pt idx="73">
                  <c:v>-3.4620834512441676E-2</c:v>
                </c:pt>
                <c:pt idx="74">
                  <c:v>-6.60333493561827E-2</c:v>
                </c:pt>
                <c:pt idx="75">
                  <c:v>0.13577194654744104</c:v>
                </c:pt>
                <c:pt idx="76">
                  <c:v>0.31261178100788672</c:v>
                </c:pt>
                <c:pt idx="77">
                  <c:v>-3.2255780404046676E-2</c:v>
                </c:pt>
                <c:pt idx="78">
                  <c:v>-0.26368935594280934</c:v>
                </c:pt>
                <c:pt idx="79">
                  <c:v>-0.11399429932656092</c:v>
                </c:pt>
                <c:pt idx="80">
                  <c:v>-2.5934331988301862E-2</c:v>
                </c:pt>
                <c:pt idx="81">
                  <c:v>-7.9526129622405878E-2</c:v>
                </c:pt>
                <c:pt idx="82">
                  <c:v>0.1024272247678954</c:v>
                </c:pt>
                <c:pt idx="83">
                  <c:v>-5.3663885931039448E-2</c:v>
                </c:pt>
                <c:pt idx="84">
                  <c:v>-9.1696732685776316E-4</c:v>
                </c:pt>
                <c:pt idx="85">
                  <c:v>-4.5940107600181912E-2</c:v>
                </c:pt>
                <c:pt idx="86">
                  <c:v>-0.10282247475004642</c:v>
                </c:pt>
                <c:pt idx="87">
                  <c:v>-7.1785213071962437E-2</c:v>
                </c:pt>
                <c:pt idx="88">
                  <c:v>0.11322455235757996</c:v>
                </c:pt>
                <c:pt idx="89">
                  <c:v>-1.0219883346427566E-2</c:v>
                </c:pt>
                <c:pt idx="90">
                  <c:v>-2.746887139993974E-2</c:v>
                </c:pt>
                <c:pt idx="91">
                  <c:v>-8.1922516633720063E-2</c:v>
                </c:pt>
                <c:pt idx="92">
                  <c:v>0.11603654947455903</c:v>
                </c:pt>
                <c:pt idx="93">
                  <c:v>-0.1832042110633583</c:v>
                </c:pt>
                <c:pt idx="94">
                  <c:v>-0.18184270512830011</c:v>
                </c:pt>
                <c:pt idx="95">
                  <c:v>7.436189902750423E-2</c:v>
                </c:pt>
                <c:pt idx="96">
                  <c:v>-0.22065911495905816</c:v>
                </c:pt>
                <c:pt idx="97">
                  <c:v>0.1070243880426435</c:v>
                </c:pt>
                <c:pt idx="98">
                  <c:v>-4.0447628221719018E-2</c:v>
                </c:pt>
                <c:pt idx="99">
                  <c:v>0.12596155268748038</c:v>
                </c:pt>
                <c:pt idx="100">
                  <c:v>-0.10522489712946813</c:v>
                </c:pt>
                <c:pt idx="101">
                  <c:v>0.19894684978636251</c:v>
                </c:pt>
                <c:pt idx="102">
                  <c:v>-0.15815339071395082</c:v>
                </c:pt>
                <c:pt idx="103">
                  <c:v>-0.29691473683482744</c:v>
                </c:pt>
                <c:pt idx="104">
                  <c:v>-0.10976460980234634</c:v>
                </c:pt>
                <c:pt idx="105">
                  <c:v>5.4631845097359445E-2</c:v>
                </c:pt>
                <c:pt idx="106">
                  <c:v>0.16575189015056049</c:v>
                </c:pt>
                <c:pt idx="107">
                  <c:v>0.1396802399324478</c:v>
                </c:pt>
                <c:pt idx="108">
                  <c:v>0.21753858170064327</c:v>
                </c:pt>
                <c:pt idx="109">
                  <c:v>2.4633263297367661E-2</c:v>
                </c:pt>
                <c:pt idx="110">
                  <c:v>-0.10283647113117501</c:v>
                </c:pt>
                <c:pt idx="111">
                  <c:v>8.4885111505527161E-2</c:v>
                </c:pt>
                <c:pt idx="112">
                  <c:v>-2.4459610695135713E-2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9-F54C-81FD-885CAEF43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039727"/>
        <c:axId val="629802527"/>
      </c:scatterChart>
      <c:valAx>
        <c:axId val="6300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 Ratio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2527"/>
        <c:crosses val="autoZero"/>
        <c:crossBetween val="midCat"/>
      </c:valAx>
      <c:valAx>
        <c:axId val="6298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After 1 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972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 2024 Q4 P/E Ratio to Q1 Stock Price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 Ratio below 15'!$AS$1</c:f>
              <c:strCache>
                <c:ptCount val="1"/>
                <c:pt idx="0">
                  <c:v>without nvr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'PE Ratio below 15'!$AS$3:$AS$114</c:f>
              <c:numCache>
                <c:formatCode>General</c:formatCode>
                <c:ptCount val="112"/>
                <c:pt idx="0">
                  <c:v>5.1667817049666853</c:v>
                </c:pt>
                <c:pt idx="1">
                  <c:v>3.771531430980827</c:v>
                </c:pt>
                <c:pt idx="2">
                  <c:v>7.3224328285039846</c:v>
                </c:pt>
                <c:pt idx="3">
                  <c:v>6.5936909041591196</c:v>
                </c:pt>
                <c:pt idx="4">
                  <c:v>6.7588462409142354</c:v>
                </c:pt>
                <c:pt idx="5">
                  <c:v>11.98655892921977</c:v>
                </c:pt>
                <c:pt idx="6">
                  <c:v>12.125689188639321</c:v>
                </c:pt>
                <c:pt idx="7">
                  <c:v>5.4930632313092556</c:v>
                </c:pt>
                <c:pt idx="8">
                  <c:v>13.18201767770868</c:v>
                </c:pt>
                <c:pt idx="9">
                  <c:v>9.2631047771823027</c:v>
                </c:pt>
                <c:pt idx="10">
                  <c:v>10.1563767689501</c:v>
                </c:pt>
                <c:pt idx="11">
                  <c:v>13.435623639653461</c:v>
                </c:pt>
                <c:pt idx="12">
                  <c:v>9.5490217208862287</c:v>
                </c:pt>
                <c:pt idx="13">
                  <c:v>8.4208248042258891</c:v>
                </c:pt>
                <c:pt idx="14">
                  <c:v>12.926515326442489</c:v>
                </c:pt>
                <c:pt idx="15">
                  <c:v>10.95702215353778</c:v>
                </c:pt>
                <c:pt idx="16">
                  <c:v>12.03631132076948</c:v>
                </c:pt>
                <c:pt idx="17">
                  <c:v>4.1331467801579747</c:v>
                </c:pt>
                <c:pt idx="18">
                  <c:v>5.8590686279722206</c:v>
                </c:pt>
                <c:pt idx="19">
                  <c:v>10.85347271470166</c:v>
                </c:pt>
                <c:pt idx="20">
                  <c:v>8.3134688148202827</c:v>
                </c:pt>
                <c:pt idx="21">
                  <c:v>10.809354569847869</c:v>
                </c:pt>
                <c:pt idx="22">
                  <c:v>13.138334932383041</c:v>
                </c:pt>
                <c:pt idx="23">
                  <c:v>13.505215442318709</c:v>
                </c:pt>
                <c:pt idx="24">
                  <c:v>12.610362154263489</c:v>
                </c:pt>
                <c:pt idx="25">
                  <c:v>12.635852629879871</c:v>
                </c:pt>
                <c:pt idx="26">
                  <c:v>12.45419091416149</c:v>
                </c:pt>
                <c:pt idx="27">
                  <c:v>6.6145315133968756</c:v>
                </c:pt>
                <c:pt idx="28">
                  <c:v>10.735054016113279</c:v>
                </c:pt>
                <c:pt idx="29">
                  <c:v>12.347846784089739</c:v>
                </c:pt>
                <c:pt idx="30">
                  <c:v>7.9759859856758402</c:v>
                </c:pt>
                <c:pt idx="31">
                  <c:v>11.77594286840667</c:v>
                </c:pt>
                <c:pt idx="32">
                  <c:v>12.746229608074451</c:v>
                </c:pt>
                <c:pt idx="33">
                  <c:v>11.45028849594466</c:v>
                </c:pt>
                <c:pt idx="34">
                  <c:v>7.9344910018298096</c:v>
                </c:pt>
                <c:pt idx="35">
                  <c:v>10.66319520207127</c:v>
                </c:pt>
                <c:pt idx="36">
                  <c:v>4.399532984867478</c:v>
                </c:pt>
                <c:pt idx="37">
                  <c:v>13.11029064338017</c:v>
                </c:pt>
                <c:pt idx="38">
                  <c:v>7.6137750190601006</c:v>
                </c:pt>
                <c:pt idx="39">
                  <c:v>10.686300184343249</c:v>
                </c:pt>
                <c:pt idx="40">
                  <c:v>12.82765960693359</c:v>
                </c:pt>
                <c:pt idx="41">
                  <c:v>14.10093944984604</c:v>
                </c:pt>
                <c:pt idx="42">
                  <c:v>14.82789017433344</c:v>
                </c:pt>
                <c:pt idx="43">
                  <c:v>11.87770533007245</c:v>
                </c:pt>
                <c:pt idx="44">
                  <c:v>12.1301094907506</c:v>
                </c:pt>
                <c:pt idx="45">
                  <c:v>6.2151451368589656</c:v>
                </c:pt>
                <c:pt idx="46">
                  <c:v>14.932876163058809</c:v>
                </c:pt>
                <c:pt idx="47">
                  <c:v>14.078004860583651</c:v>
                </c:pt>
                <c:pt idx="48">
                  <c:v>12.40890237349498</c:v>
                </c:pt>
                <c:pt idx="49">
                  <c:v>10.446834564208981</c:v>
                </c:pt>
                <c:pt idx="50">
                  <c:v>8.2341098046117978</c:v>
                </c:pt>
                <c:pt idx="51">
                  <c:v>12.115420282414529</c:v>
                </c:pt>
                <c:pt idx="52">
                  <c:v>8.9490790116159538</c:v>
                </c:pt>
                <c:pt idx="53">
                  <c:v>11.584480203878551</c:v>
                </c:pt>
                <c:pt idx="54">
                  <c:v>9.3507521493094305</c:v>
                </c:pt>
                <c:pt idx="55">
                  <c:v>9.1685571768178065</c:v>
                </c:pt>
                <c:pt idx="56">
                  <c:v>12.872759395168661</c:v>
                </c:pt>
                <c:pt idx="57">
                  <c:v>10.13119415964737</c:v>
                </c:pt>
                <c:pt idx="58">
                  <c:v>11.576836903889969</c:v>
                </c:pt>
                <c:pt idx="59">
                  <c:v>13.018902937571211</c:v>
                </c:pt>
                <c:pt idx="60">
                  <c:v>11.55868558322682</c:v>
                </c:pt>
                <c:pt idx="61">
                  <c:v>14.611034090556799</c:v>
                </c:pt>
                <c:pt idx="62">
                  <c:v>9.0973988823268712</c:v>
                </c:pt>
                <c:pt idx="63">
                  <c:v>12.100958923086591</c:v>
                </c:pt>
                <c:pt idx="64">
                  <c:v>4.0460516503975219</c:v>
                </c:pt>
                <c:pt idx="65">
                  <c:v>7.9825546941146479</c:v>
                </c:pt>
                <c:pt idx="66">
                  <c:v>14.588127136230471</c:v>
                </c:pt>
                <c:pt idx="67">
                  <c:v>11.79196465875685</c:v>
                </c:pt>
                <c:pt idx="68">
                  <c:v>12.642410823277061</c:v>
                </c:pt>
                <c:pt idx="69">
                  <c:v>11.125523856516629</c:v>
                </c:pt>
                <c:pt idx="70">
                  <c:v>12.653471174694239</c:v>
                </c:pt>
                <c:pt idx="71">
                  <c:v>9.7927461351667144</c:v>
                </c:pt>
                <c:pt idx="72">
                  <c:v>10.931380468470451</c:v>
                </c:pt>
                <c:pt idx="73">
                  <c:v>4.9786732991536464</c:v>
                </c:pt>
                <c:pt idx="74">
                  <c:v>13.591641743977871</c:v>
                </c:pt>
                <c:pt idx="75">
                  <c:v>10.97427853998148</c:v>
                </c:pt>
                <c:pt idx="76">
                  <c:v>7.3353105975735584</c:v>
                </c:pt>
                <c:pt idx="77">
                  <c:v>11.01217479957883</c:v>
                </c:pt>
                <c:pt idx="78">
                  <c:v>11.09913793103448</c:v>
                </c:pt>
                <c:pt idx="79">
                  <c:v>9.0694276910079168</c:v>
                </c:pt>
                <c:pt idx="80">
                  <c:v>12.217767042569839</c:v>
                </c:pt>
                <c:pt idx="81">
                  <c:v>10.981393247798771</c:v>
                </c:pt>
                <c:pt idx="82">
                  <c:v>6.0400939361094368</c:v>
                </c:pt>
                <c:pt idx="83">
                  <c:v>13.216392143622979</c:v>
                </c:pt>
                <c:pt idx="84">
                  <c:v>12.04417332881639</c:v>
                </c:pt>
                <c:pt idx="85">
                  <c:v>12.993941015126749</c:v>
                </c:pt>
                <c:pt idx="86">
                  <c:v>10.12281349727086</c:v>
                </c:pt>
                <c:pt idx="87">
                  <c:v>11.76472537868576</c:v>
                </c:pt>
                <c:pt idx="88">
                  <c:v>13.43082838420627</c:v>
                </c:pt>
                <c:pt idx="89">
                  <c:v>14.7810884224352</c:v>
                </c:pt>
                <c:pt idx="90">
                  <c:v>9.4684471130371097</c:v>
                </c:pt>
                <c:pt idx="91">
                  <c:v>14.203703844988789</c:v>
                </c:pt>
                <c:pt idx="92">
                  <c:v>8.2789470494719986</c:v>
                </c:pt>
                <c:pt idx="93">
                  <c:v>14.00571536523691</c:v>
                </c:pt>
                <c:pt idx="94">
                  <c:v>11.48482789384558</c:v>
                </c:pt>
                <c:pt idx="95">
                  <c:v>13.361954491985729</c:v>
                </c:pt>
                <c:pt idx="96">
                  <c:v>6.4769736498299864</c:v>
                </c:pt>
                <c:pt idx="97">
                  <c:v>11.230356796928071</c:v>
                </c:pt>
                <c:pt idx="98">
                  <c:v>13.392518793494959</c:v>
                </c:pt>
                <c:pt idx="99">
                  <c:v>11.31980253918336</c:v>
                </c:pt>
                <c:pt idx="100">
                  <c:v>4.6460244998290268</c:v>
                </c:pt>
                <c:pt idx="101">
                  <c:v>12.80588217342601</c:v>
                </c:pt>
                <c:pt idx="102">
                  <c:v>8.1733586857372824</c:v>
                </c:pt>
                <c:pt idx="103">
                  <c:v>14.512415215520569</c:v>
                </c:pt>
                <c:pt idx="104">
                  <c:v>8.7592333731566647</c:v>
                </c:pt>
                <c:pt idx="105">
                  <c:v>7.6507071487042086</c:v>
                </c:pt>
                <c:pt idx="106">
                  <c:v>11.81299193152066</c:v>
                </c:pt>
                <c:pt idx="107">
                  <c:v>9.8270186062516842</c:v>
                </c:pt>
                <c:pt idx="108">
                  <c:v>11.88146920039736</c:v>
                </c:pt>
                <c:pt idx="109">
                  <c:v>6.6803631328401112</c:v>
                </c:pt>
                <c:pt idx="110">
                  <c:v>6.267802746264965</c:v>
                </c:pt>
                <c:pt idx="111">
                  <c:v>8.3011023700237274</c:v>
                </c:pt>
              </c:numCache>
            </c:numRef>
          </c:xVal>
          <c:yVal>
            <c:numRef>
              <c:f>'PE Ratio below 15'!$AU$3:$AU$114</c:f>
              <c:numCache>
                <c:formatCode>General</c:formatCode>
                <c:ptCount val="112"/>
                <c:pt idx="0">
                  <c:v>130.20683288574219</c:v>
                </c:pt>
                <c:pt idx="1">
                  <c:v>11.886983871459959</c:v>
                </c:pt>
                <c:pt idx="2">
                  <c:v>109.4086380004883</c:v>
                </c:pt>
                <c:pt idx="3">
                  <c:v>204.10057067871091</c:v>
                </c:pt>
                <c:pt idx="4">
                  <c:v>57.01470947265625</c:v>
                </c:pt>
                <c:pt idx="5">
                  <c:v>85.530471801757812</c:v>
                </c:pt>
                <c:pt idx="6">
                  <c:v>479.30410766601562</c:v>
                </c:pt>
                <c:pt idx="7">
                  <c:v>19.98703765869141</c:v>
                </c:pt>
                <c:pt idx="8">
                  <c:v>59.5</c:v>
                </c:pt>
                <c:pt idx="9">
                  <c:v>96.180000305175781</c:v>
                </c:pt>
                <c:pt idx="10">
                  <c:v>46.723911285400391</c:v>
                </c:pt>
                <c:pt idx="11">
                  <c:v>207.34730529785159</c:v>
                </c:pt>
                <c:pt idx="12">
                  <c:v>27.09339714050293</c:v>
                </c:pt>
                <c:pt idx="13">
                  <c:v>43.239898681640618</c:v>
                </c:pt>
                <c:pt idx="14">
                  <c:v>41.042758941650391</c:v>
                </c:pt>
                <c:pt idx="15">
                  <c:v>532.58001708984375</c:v>
                </c:pt>
                <c:pt idx="16">
                  <c:v>82.140975952148438</c:v>
                </c:pt>
                <c:pt idx="17">
                  <c:v>74.558120727539062</c:v>
                </c:pt>
                <c:pt idx="18">
                  <c:v>62.500621795654297</c:v>
                </c:pt>
                <c:pt idx="19">
                  <c:v>76.781936645507812</c:v>
                </c:pt>
                <c:pt idx="20">
                  <c:v>368.52999877929688</c:v>
                </c:pt>
                <c:pt idx="21">
                  <c:v>300.97738647460938</c:v>
                </c:pt>
                <c:pt idx="22">
                  <c:v>323.95767211914062</c:v>
                </c:pt>
                <c:pt idx="23">
                  <c:v>145.2586669921875</c:v>
                </c:pt>
                <c:pt idx="24">
                  <c:v>69.551971435546875</c:v>
                </c:pt>
                <c:pt idx="25">
                  <c:v>39.802375793457031</c:v>
                </c:pt>
                <c:pt idx="26">
                  <c:v>172.22999572753909</c:v>
                </c:pt>
                <c:pt idx="27">
                  <c:v>33.21478271484375</c:v>
                </c:pt>
                <c:pt idx="28">
                  <c:v>25.293622970581051</c:v>
                </c:pt>
                <c:pt idx="29">
                  <c:v>102.33221435546881</c:v>
                </c:pt>
                <c:pt idx="30">
                  <c:v>65.260368347167969</c:v>
                </c:pt>
                <c:pt idx="31">
                  <c:v>152.9700012207031</c:v>
                </c:pt>
                <c:pt idx="32">
                  <c:v>89.488723754882812</c:v>
                </c:pt>
                <c:pt idx="33">
                  <c:v>43.187641143798828</c:v>
                </c:pt>
                <c:pt idx="34">
                  <c:v>36.646270751953118</c:v>
                </c:pt>
                <c:pt idx="35">
                  <c:v>156.5632629394531</c:v>
                </c:pt>
                <c:pt idx="36">
                  <c:v>174.18699645996091</c:v>
                </c:pt>
                <c:pt idx="37">
                  <c:v>126.0064392089844</c:v>
                </c:pt>
                <c:pt idx="38">
                  <c:v>84.995521545410156</c:v>
                </c:pt>
                <c:pt idx="39">
                  <c:v>67.012748718261719</c:v>
                </c:pt>
                <c:pt idx="40">
                  <c:v>123.6563339233398</c:v>
                </c:pt>
                <c:pt idx="41">
                  <c:v>44.877338409423828</c:v>
                </c:pt>
                <c:pt idx="42">
                  <c:v>115.7457656860352</c:v>
                </c:pt>
                <c:pt idx="43">
                  <c:v>38.184215545654297</c:v>
                </c:pt>
                <c:pt idx="44">
                  <c:v>126.4300003051758</c:v>
                </c:pt>
                <c:pt idx="45">
                  <c:v>9.6432323455810547</c:v>
                </c:pt>
                <c:pt idx="46">
                  <c:v>56.340408325195312</c:v>
                </c:pt>
                <c:pt idx="47">
                  <c:v>52.444648742675781</c:v>
                </c:pt>
                <c:pt idx="48">
                  <c:v>80.562591552734375</c:v>
                </c:pt>
                <c:pt idx="49">
                  <c:v>56.940414428710938</c:v>
                </c:pt>
                <c:pt idx="50">
                  <c:v>46.666606903076172</c:v>
                </c:pt>
                <c:pt idx="51">
                  <c:v>97.02874755859375</c:v>
                </c:pt>
                <c:pt idx="52">
                  <c:v>130.64842224121091</c:v>
                </c:pt>
                <c:pt idx="53">
                  <c:v>538.01885986328125</c:v>
                </c:pt>
                <c:pt idx="54">
                  <c:v>24.812648773193359</c:v>
                </c:pt>
                <c:pt idx="55">
                  <c:v>122.21266937255859</c:v>
                </c:pt>
                <c:pt idx="56">
                  <c:v>343.75250244140619</c:v>
                </c:pt>
                <c:pt idx="57">
                  <c:v>167.02284240722659</c:v>
                </c:pt>
                <c:pt idx="58">
                  <c:v>15.146321296691889</c:v>
                </c:pt>
                <c:pt idx="59">
                  <c:v>26.785469055175781</c:v>
                </c:pt>
                <c:pt idx="60">
                  <c:v>14.60102462768555</c:v>
                </c:pt>
                <c:pt idx="61">
                  <c:v>200.92781066894531</c:v>
                </c:pt>
                <c:pt idx="62">
                  <c:v>14.69060611724854</c:v>
                </c:pt>
                <c:pt idx="63">
                  <c:v>240.37127685546881</c:v>
                </c:pt>
                <c:pt idx="64">
                  <c:v>29.084011077880859</c:v>
                </c:pt>
                <c:pt idx="65">
                  <c:v>113.2704544067383</c:v>
                </c:pt>
                <c:pt idx="66">
                  <c:v>41.412681579589837</c:v>
                </c:pt>
                <c:pt idx="67">
                  <c:v>174.72026062011719</c:v>
                </c:pt>
                <c:pt idx="68">
                  <c:v>30.48200607299805</c:v>
                </c:pt>
                <c:pt idx="69">
                  <c:v>78.528717041015625</c:v>
                </c:pt>
                <c:pt idx="70">
                  <c:v>86.718925476074219</c:v>
                </c:pt>
                <c:pt idx="71">
                  <c:v>59.134071350097663</c:v>
                </c:pt>
                <c:pt idx="72">
                  <c:v>66.231842041015625</c:v>
                </c:pt>
                <c:pt idx="73">
                  <c:v>576.75689697265625</c:v>
                </c:pt>
                <c:pt idx="74">
                  <c:v>114.2472610473633</c:v>
                </c:pt>
                <c:pt idx="75">
                  <c:v>26.42426872253418</c:v>
                </c:pt>
                <c:pt idx="76">
                  <c:v>47.756938934326172</c:v>
                </c:pt>
                <c:pt idx="77">
                  <c:v>96.765274047851562</c:v>
                </c:pt>
                <c:pt idx="78">
                  <c:v>18.95999908447266</c:v>
                </c:pt>
                <c:pt idx="79">
                  <c:v>80.568069458007812</c:v>
                </c:pt>
                <c:pt idx="80">
                  <c:v>169.59172058105469</c:v>
                </c:pt>
                <c:pt idx="81">
                  <c:v>81.958885192871094</c:v>
                </c:pt>
                <c:pt idx="82">
                  <c:v>102.2013473510742</c:v>
                </c:pt>
                <c:pt idx="83">
                  <c:v>151.056884765625</c:v>
                </c:pt>
                <c:pt idx="84">
                  <c:v>218.78602600097659</c:v>
                </c:pt>
                <c:pt idx="85">
                  <c:v>137.09657287597659</c:v>
                </c:pt>
                <c:pt idx="86">
                  <c:v>21.047365188598629</c:v>
                </c:pt>
                <c:pt idx="87">
                  <c:v>40.799354553222663</c:v>
                </c:pt>
                <c:pt idx="88">
                  <c:v>84.015342712402344</c:v>
                </c:pt>
                <c:pt idx="89">
                  <c:v>74.17535400390625</c:v>
                </c:pt>
                <c:pt idx="90">
                  <c:v>86.927680969238281</c:v>
                </c:pt>
                <c:pt idx="91">
                  <c:v>34.240001678466797</c:v>
                </c:pt>
                <c:pt idx="92">
                  <c:v>52.204254150390618</c:v>
                </c:pt>
                <c:pt idx="93">
                  <c:v>88.462539672851562</c:v>
                </c:pt>
                <c:pt idx="94">
                  <c:v>69.591178894042969</c:v>
                </c:pt>
                <c:pt idx="95">
                  <c:v>100.802848815918</c:v>
                </c:pt>
                <c:pt idx="96">
                  <c:v>261.28091430664062</c:v>
                </c:pt>
                <c:pt idx="97">
                  <c:v>39.656105041503913</c:v>
                </c:pt>
                <c:pt idx="98">
                  <c:v>62.12738037109375</c:v>
                </c:pt>
                <c:pt idx="99">
                  <c:v>40.919857025146477</c:v>
                </c:pt>
                <c:pt idx="100">
                  <c:v>72.860000610351562</c:v>
                </c:pt>
                <c:pt idx="101">
                  <c:v>366.54000854492188</c:v>
                </c:pt>
                <c:pt idx="102">
                  <c:v>69.050003051757812</c:v>
                </c:pt>
                <c:pt idx="103">
                  <c:v>104.3892822265625</c:v>
                </c:pt>
                <c:pt idx="104">
                  <c:v>187.34190368652341</c:v>
                </c:pt>
                <c:pt idx="105">
                  <c:v>42.45361328125</c:v>
                </c:pt>
                <c:pt idx="106">
                  <c:v>31.234237670898441</c:v>
                </c:pt>
                <c:pt idx="107">
                  <c:v>69.39569091796875</c:v>
                </c:pt>
                <c:pt idx="108">
                  <c:v>70.610061645507812</c:v>
                </c:pt>
                <c:pt idx="109">
                  <c:v>40.275501251220703</c:v>
                </c:pt>
                <c:pt idx="110">
                  <c:v>335.09640502929688</c:v>
                </c:pt>
                <c:pt idx="111">
                  <c:v>82.924140930175781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81-F145-A431-37FDCF5FA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039727"/>
        <c:axId val="629802527"/>
      </c:scatterChart>
      <c:valAx>
        <c:axId val="6300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 Ratio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2527"/>
        <c:crosses val="autoZero"/>
        <c:crossBetween val="midCat"/>
      </c:valAx>
      <c:valAx>
        <c:axId val="6298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After 1 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972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806450</xdr:colOff>
      <xdr:row>6</xdr:row>
      <xdr:rowOff>114300</xdr:rowOff>
    </xdr:from>
    <xdr:to>
      <xdr:col>31</xdr:col>
      <xdr:colOff>25400</xdr:colOff>
      <xdr:row>22</xdr:row>
      <xdr:rowOff>69850</xdr:rowOff>
    </xdr:to>
    <xdr:graphicFrame macro="">
      <xdr:nvGraphicFramePr>
        <xdr:cNvPr id="6" name="Q3_Q4_chart">
          <a:extLst>
            <a:ext uri="{FF2B5EF4-FFF2-40B4-BE49-F238E27FC236}">
              <a16:creationId xmlns:a16="http://schemas.microsoft.com/office/drawing/2014/main" id="{52F02306-C782-A497-6B63-AFC25CCC4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12700</xdr:colOff>
      <xdr:row>6</xdr:row>
      <xdr:rowOff>101600</xdr:rowOff>
    </xdr:from>
    <xdr:to>
      <xdr:col>37</xdr:col>
      <xdr:colOff>57150</xdr:colOff>
      <xdr:row>22</xdr:row>
      <xdr:rowOff>57150</xdr:rowOff>
    </xdr:to>
    <xdr:graphicFrame macro="">
      <xdr:nvGraphicFramePr>
        <xdr:cNvPr id="7" name="Q3_Q4_chart">
          <a:extLst>
            <a:ext uri="{FF2B5EF4-FFF2-40B4-BE49-F238E27FC236}">
              <a16:creationId xmlns:a16="http://schemas.microsoft.com/office/drawing/2014/main" id="{B6DE95C0-F1B5-F24C-89AD-33C5F87CA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24</xdr:row>
      <xdr:rowOff>0</xdr:rowOff>
    </xdr:from>
    <xdr:to>
      <xdr:col>31</xdr:col>
      <xdr:colOff>44450</xdr:colOff>
      <xdr:row>39</xdr:row>
      <xdr:rowOff>146050</xdr:rowOff>
    </xdr:to>
    <xdr:graphicFrame macro="">
      <xdr:nvGraphicFramePr>
        <xdr:cNvPr id="8" name="Q3_Q4_chart">
          <a:extLst>
            <a:ext uri="{FF2B5EF4-FFF2-40B4-BE49-F238E27FC236}">
              <a16:creationId xmlns:a16="http://schemas.microsoft.com/office/drawing/2014/main" id="{BB3081BF-DCCC-3644-A2A0-8EF1D2583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220133</xdr:colOff>
      <xdr:row>23</xdr:row>
      <xdr:rowOff>186267</xdr:rowOff>
    </xdr:from>
    <xdr:to>
      <xdr:col>37</xdr:col>
      <xdr:colOff>264583</xdr:colOff>
      <xdr:row>39</xdr:row>
      <xdr:rowOff>137584</xdr:rowOff>
    </xdr:to>
    <xdr:graphicFrame macro="">
      <xdr:nvGraphicFramePr>
        <xdr:cNvPr id="9" name="Q3_Q4_chart">
          <a:extLst>
            <a:ext uri="{FF2B5EF4-FFF2-40B4-BE49-F238E27FC236}">
              <a16:creationId xmlns:a16="http://schemas.microsoft.com/office/drawing/2014/main" id="{AF4BBFDD-DD85-2A4F-8EEB-D61155D71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254000</xdr:colOff>
      <xdr:row>41</xdr:row>
      <xdr:rowOff>50800</xdr:rowOff>
    </xdr:from>
    <xdr:to>
      <xdr:col>37</xdr:col>
      <xdr:colOff>298450</xdr:colOff>
      <xdr:row>57</xdr:row>
      <xdr:rowOff>2117</xdr:rowOff>
    </xdr:to>
    <xdr:graphicFrame macro="">
      <xdr:nvGraphicFramePr>
        <xdr:cNvPr id="10" name="Q3_Q4_chart">
          <a:extLst>
            <a:ext uri="{FF2B5EF4-FFF2-40B4-BE49-F238E27FC236}">
              <a16:creationId xmlns:a16="http://schemas.microsoft.com/office/drawing/2014/main" id="{AF8CE509-EB0A-C848-9FCC-0BFBD4124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93AE5-0793-2146-A09B-8C46AAB8F047}" name="Table" displayName="Table" ref="A1:F1997" totalsRowShown="0" headerRowDxfId="1" headerRowBorderDxfId="2" tableBorderDxfId="3">
  <autoFilter ref="A1:F1997" xr:uid="{C4393AE5-0793-2146-A09B-8C46AAB8F047}">
    <filterColumn colId="1">
      <filters>
        <filter val="GOOG"/>
      </filters>
    </filterColumn>
  </autoFilter>
  <tableColumns count="6">
    <tableColumn id="1" xr3:uid="{E2A302D0-691C-9B41-A7F0-F3562D3A095E}" name="quarter_date"/>
    <tableColumn id="2" xr3:uid="{CEE525F0-CD9F-6E48-8761-5132A46D5A60}" name="company"/>
    <tableColumn id="3" xr3:uid="{C89781EE-324A-544E-B990-706960825D4E}" name="pe_ratio"/>
    <tableColumn id="4" xr3:uid="{FB5C5BD3-2E87-4442-AA36-3791057F3410}" name="price"/>
    <tableColumn id="5" xr3:uid="{698BFB30-F87D-A444-A0F8-D6CBF47C7FF3}" name="price_lag"/>
    <tableColumn id="6" xr3:uid="{5C562FDA-F39B-144B-B447-8352EC39BF2E}" name="next_q_return" dataDxfId="0">
      <calculatedColumnFormula>(Table[[#This Row],[price_lag]] - Table[[#This Row],[price]]) / Table[[#This Row],[price]]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7"/>
  <sheetViews>
    <sheetView zoomScale="125" workbookViewId="0">
      <selection activeCell="C1020" sqref="C1020"/>
    </sheetView>
  </sheetViews>
  <sheetFormatPr baseColWidth="10" defaultColWidth="8.83203125" defaultRowHeight="15" x14ac:dyDescent="0.2"/>
  <cols>
    <col min="1" max="1" width="13.6640625" customWidth="1"/>
    <col min="2" max="2" width="10.5" customWidth="1"/>
    <col min="3" max="3" width="10" customWidth="1"/>
    <col min="5" max="5" width="10.5" customWidth="1"/>
    <col min="6" max="6" width="1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511</v>
      </c>
    </row>
    <row r="2" spans="1:6" hidden="1" x14ac:dyDescent="0.2">
      <c r="A2" t="s">
        <v>5</v>
      </c>
      <c r="B2" t="s">
        <v>6</v>
      </c>
      <c r="C2">
        <v>24.76218785995092</v>
      </c>
      <c r="D2">
        <v>154.51605224609381</v>
      </c>
      <c r="E2">
        <v>161.16999816894531</v>
      </c>
      <c r="F2">
        <f>(Table[[#This Row],[price_lag]] - Table[[#This Row],[price]]) / Table[[#This Row],[price]]</f>
        <v>4.3063136975917134E-2</v>
      </c>
    </row>
    <row r="3" spans="1:6" hidden="1" x14ac:dyDescent="0.2">
      <c r="A3" t="s">
        <v>5</v>
      </c>
      <c r="B3" t="s">
        <v>7</v>
      </c>
      <c r="C3">
        <v>19.4834774791961</v>
      </c>
      <c r="D3">
        <v>73.013786315917969</v>
      </c>
      <c r="E3">
        <v>67.739997863769531</v>
      </c>
      <c r="F3">
        <f>(Table[[#This Row],[price_lag]] - Table[[#This Row],[price]]) / Table[[#This Row],[price]]</f>
        <v>-7.2230036521180679E-2</v>
      </c>
    </row>
    <row r="4" spans="1:6" hidden="1" x14ac:dyDescent="0.2">
      <c r="A4" t="s">
        <v>5</v>
      </c>
      <c r="B4" t="s">
        <v>8</v>
      </c>
      <c r="C4">
        <v>35.082827097137653</v>
      </c>
      <c r="D4">
        <v>132.67497253417969</v>
      </c>
      <c r="E4">
        <v>125.1460723876953</v>
      </c>
      <c r="F4">
        <f>(Table[[#This Row],[price_lag]] - Table[[#This Row],[price]]) / Table[[#This Row],[price]]</f>
        <v>-5.674695085800599E-2</v>
      </c>
    </row>
    <row r="5" spans="1:6" hidden="1" x14ac:dyDescent="0.2">
      <c r="A5" t="s">
        <v>5</v>
      </c>
      <c r="B5" t="s">
        <v>9</v>
      </c>
      <c r="C5">
        <v>541.7227149247575</v>
      </c>
      <c r="D5">
        <v>228.04792785644531</v>
      </c>
      <c r="E5">
        <v>227.90632629394531</v>
      </c>
      <c r="F5">
        <f>(Table[[#This Row],[price_lag]] - Table[[#This Row],[price]]) / Table[[#This Row],[price]]</f>
        <v>-6.2092895923674979E-4</v>
      </c>
    </row>
    <row r="6" spans="1:6" hidden="1" x14ac:dyDescent="0.2">
      <c r="A6" t="s">
        <v>5</v>
      </c>
      <c r="B6" t="s">
        <v>10</v>
      </c>
      <c r="C6">
        <v>27.1585909805634</v>
      </c>
      <c r="D6">
        <v>246.6000061035156</v>
      </c>
      <c r="E6">
        <v>270</v>
      </c>
      <c r="F6">
        <f>(Table[[#This Row],[price_lag]] - Table[[#This Row],[price]]) / Table[[#This Row],[price]]</f>
        <v>9.4890483849630392E-2</v>
      </c>
    </row>
    <row r="7" spans="1:6" hidden="1" x14ac:dyDescent="0.2">
      <c r="A7" t="s">
        <v>5</v>
      </c>
      <c r="B7" t="s">
        <v>11</v>
      </c>
      <c r="C7">
        <v>21.097488038277511</v>
      </c>
      <c r="D7">
        <v>352.75</v>
      </c>
      <c r="E7">
        <v>352.510009765625</v>
      </c>
      <c r="F7">
        <f>(Table[[#This Row],[price_lag]] - Table[[#This Row],[price]]) / Table[[#This Row],[price]]</f>
        <v>-6.8034084868887317E-4</v>
      </c>
    </row>
    <row r="8" spans="1:6" hidden="1" x14ac:dyDescent="0.2">
      <c r="A8" t="s">
        <v>5</v>
      </c>
      <c r="B8" t="s">
        <v>12</v>
      </c>
      <c r="C8">
        <v>53.220392528333157</v>
      </c>
      <c r="D8">
        <v>161.78999328613281</v>
      </c>
      <c r="E8">
        <v>215.3399963378906</v>
      </c>
      <c r="F8">
        <f>(Table[[#This Row],[price_lag]] - Table[[#This Row],[price]]) / Table[[#This Row],[price]]</f>
        <v>0.33098464227668406</v>
      </c>
    </row>
    <row r="9" spans="1:6" hidden="1" x14ac:dyDescent="0.2">
      <c r="A9" t="s">
        <v>5</v>
      </c>
      <c r="B9" t="s">
        <v>13</v>
      </c>
      <c r="C9">
        <v>3.6502235391166771</v>
      </c>
      <c r="D9">
        <v>12.994795799255369</v>
      </c>
      <c r="E9">
        <v>14.5</v>
      </c>
      <c r="F9">
        <f>(Table[[#This Row],[price_lag]] - Table[[#This Row],[price]]) / Table[[#This Row],[price]]</f>
        <v>0.11583130847126372</v>
      </c>
    </row>
    <row r="10" spans="1:6" hidden="1" x14ac:dyDescent="0.2">
      <c r="A10" t="s">
        <v>5</v>
      </c>
      <c r="B10" t="s">
        <v>14</v>
      </c>
      <c r="C10">
        <v>8.9903161749484859</v>
      </c>
      <c r="D10">
        <v>111.1203079223633</v>
      </c>
      <c r="E10">
        <v>110.8000030517578</v>
      </c>
      <c r="F10">
        <f>(Table[[#This Row],[price_lag]] - Table[[#This Row],[price]]) / Table[[#This Row],[price]]</f>
        <v>-2.8825052467392853E-3</v>
      </c>
    </row>
    <row r="11" spans="1:6" hidden="1" x14ac:dyDescent="0.2">
      <c r="A11" t="s">
        <v>5</v>
      </c>
      <c r="B11" t="s">
        <v>15</v>
      </c>
      <c r="C11">
        <v>20.934806773865141</v>
      </c>
      <c r="D11">
        <v>128.12101745605469</v>
      </c>
      <c r="E11">
        <v>137.37446594238281</v>
      </c>
      <c r="F11">
        <f>(Table[[#This Row],[price_lag]] - Table[[#This Row],[price]]) / Table[[#This Row],[price]]</f>
        <v>7.2224281933306086E-2</v>
      </c>
    </row>
    <row r="12" spans="1:6" hidden="1" x14ac:dyDescent="0.2">
      <c r="A12" t="s">
        <v>5</v>
      </c>
      <c r="B12" t="s">
        <v>16</v>
      </c>
      <c r="C12">
        <v>3362.0841979980469</v>
      </c>
      <c r="D12">
        <v>268.96673583984381</v>
      </c>
      <c r="E12">
        <v>247.0169677734375</v>
      </c>
      <c r="F12">
        <f>(Table[[#This Row],[price_lag]] - Table[[#This Row],[price]]) / Table[[#This Row],[price]]</f>
        <v>-8.1607742302662628E-2</v>
      </c>
    </row>
    <row r="13" spans="1:6" hidden="1" x14ac:dyDescent="0.2">
      <c r="A13" t="s">
        <v>5</v>
      </c>
      <c r="B13" t="s">
        <v>17</v>
      </c>
      <c r="C13">
        <v>13.491110907660589</v>
      </c>
      <c r="D13">
        <v>121.4199981689453</v>
      </c>
      <c r="E13">
        <v>136.9100036621094</v>
      </c>
      <c r="F13">
        <f>(Table[[#This Row],[price_lag]] - Table[[#This Row],[price]]) / Table[[#This Row],[price]]</f>
        <v>0.12757375825035938</v>
      </c>
    </row>
    <row r="14" spans="1:6" hidden="1" x14ac:dyDescent="0.2">
      <c r="A14" t="s">
        <v>5</v>
      </c>
      <c r="B14" t="s">
        <v>18</v>
      </c>
      <c r="C14">
        <v>19.32653115720165</v>
      </c>
      <c r="D14">
        <v>75.760002136230469</v>
      </c>
      <c r="E14">
        <v>87.970001220703125</v>
      </c>
      <c r="F14">
        <f>(Table[[#This Row],[price_lag]] - Table[[#This Row],[price]]) / Table[[#This Row],[price]]</f>
        <v>0.16116682603198484</v>
      </c>
    </row>
    <row r="15" spans="1:6" hidden="1" x14ac:dyDescent="0.2">
      <c r="A15" t="s">
        <v>5</v>
      </c>
      <c r="B15" t="s">
        <v>19</v>
      </c>
      <c r="C15">
        <v>0</v>
      </c>
      <c r="D15">
        <v>80.836021423339844</v>
      </c>
      <c r="E15">
        <v>142.00999450683591</v>
      </c>
      <c r="F15">
        <f>(Table[[#This Row],[price_lag]] - Table[[#This Row],[price]]) / Table[[#This Row],[price]]</f>
        <v>0.75676625353846594</v>
      </c>
    </row>
    <row r="16" spans="1:6" hidden="1" x14ac:dyDescent="0.2">
      <c r="A16" t="s">
        <v>5</v>
      </c>
      <c r="B16" t="s">
        <v>20</v>
      </c>
      <c r="C16">
        <v>0</v>
      </c>
      <c r="D16">
        <v>82.127044677734375</v>
      </c>
      <c r="E16">
        <v>48.75</v>
      </c>
      <c r="F16">
        <f>(Table[[#This Row],[price_lag]] - Table[[#This Row],[price]]) / Table[[#This Row],[price]]</f>
        <v>-0.40640747282098771</v>
      </c>
    </row>
    <row r="17" spans="1:6" hidden="1" x14ac:dyDescent="0.2">
      <c r="A17" t="s">
        <v>5</v>
      </c>
      <c r="B17" t="s">
        <v>21</v>
      </c>
      <c r="C17">
        <v>40.134615775866394</v>
      </c>
      <c r="D17">
        <v>125.2200012207031</v>
      </c>
      <c r="E17">
        <v>158.13999938964841</v>
      </c>
      <c r="F17">
        <f>(Table[[#This Row],[price_lag]] - Table[[#This Row],[price]]) / Table[[#This Row],[price]]</f>
        <v>0.26289728356513165</v>
      </c>
    </row>
    <row r="18" spans="1:6" hidden="1" x14ac:dyDescent="0.2">
      <c r="A18" t="s">
        <v>5</v>
      </c>
      <c r="B18" t="s">
        <v>22</v>
      </c>
      <c r="C18">
        <v>20.245434486702699</v>
      </c>
      <c r="D18">
        <v>177.3500061035156</v>
      </c>
      <c r="E18">
        <v>161.1300048828125</v>
      </c>
      <c r="F18">
        <f>(Table[[#This Row],[price_lag]] - Table[[#This Row],[price]]) / Table[[#This Row],[price]]</f>
        <v>-9.1457573512773449E-2</v>
      </c>
    </row>
    <row r="19" spans="1:6" hidden="1" x14ac:dyDescent="0.2">
      <c r="A19" t="s">
        <v>5</v>
      </c>
      <c r="B19" t="s">
        <v>23</v>
      </c>
      <c r="C19">
        <v>15.34561542196011</v>
      </c>
      <c r="D19">
        <v>66.906883239746094</v>
      </c>
      <c r="E19">
        <v>65.419998168945312</v>
      </c>
      <c r="F19">
        <f>(Table[[#This Row],[price_lag]] - Table[[#This Row],[price]]) / Table[[#This Row],[price]]</f>
        <v>-2.2223200346560095E-2</v>
      </c>
    </row>
    <row r="20" spans="1:6" hidden="1" x14ac:dyDescent="0.2">
      <c r="A20" t="s">
        <v>5</v>
      </c>
      <c r="B20" t="s">
        <v>24</v>
      </c>
      <c r="C20">
        <v>3.7799389752106549</v>
      </c>
      <c r="D20">
        <v>213.64215087890619</v>
      </c>
      <c r="E20">
        <v>209.1000061035156</v>
      </c>
      <c r="F20">
        <f>(Table[[#This Row],[price_lag]] - Table[[#This Row],[price]]) / Table[[#This Row],[price]]</f>
        <v>-2.1260527272846615E-2</v>
      </c>
    </row>
    <row r="21" spans="1:6" hidden="1" x14ac:dyDescent="0.2">
      <c r="A21" t="s">
        <v>5</v>
      </c>
      <c r="B21" t="s">
        <v>25</v>
      </c>
      <c r="C21">
        <v>21.01566618289089</v>
      </c>
      <c r="D21">
        <v>242.94110107421881</v>
      </c>
      <c r="E21">
        <v>313.85000610351562</v>
      </c>
      <c r="F21">
        <f>(Table[[#This Row],[price_lag]] - Table[[#This Row],[price]]) / Table[[#This Row],[price]]</f>
        <v>0.29187693937237102</v>
      </c>
    </row>
    <row r="22" spans="1:6" x14ac:dyDescent="0.2">
      <c r="A22" t="s">
        <v>5</v>
      </c>
      <c r="B22" t="s">
        <v>26</v>
      </c>
      <c r="C22">
        <v>21.054602494289309</v>
      </c>
      <c r="D22">
        <v>243.3912048339844</v>
      </c>
      <c r="E22">
        <v>314.54998779296881</v>
      </c>
      <c r="F22">
        <f>(Table[[#This Row],[price_lag]] - Table[[#This Row],[price]]) / Table[[#This Row],[price]]</f>
        <v>0.29236382229802166</v>
      </c>
    </row>
    <row r="23" spans="1:6" hidden="1" x14ac:dyDescent="0.2">
      <c r="A23" t="s">
        <v>5</v>
      </c>
      <c r="B23" t="s">
        <v>27</v>
      </c>
      <c r="C23">
        <v>11.5022618719872</v>
      </c>
      <c r="D23">
        <v>64.872756958007812</v>
      </c>
      <c r="E23">
        <v>57.770000457763672</v>
      </c>
      <c r="F23">
        <f>(Table[[#This Row],[price_lag]] - Table[[#This Row],[price]]) / Table[[#This Row],[price]]</f>
        <v>-0.10948750805891849</v>
      </c>
    </row>
    <row r="24" spans="1:6" hidden="1" x14ac:dyDescent="0.2">
      <c r="A24" t="s">
        <v>5</v>
      </c>
      <c r="B24" t="s">
        <v>28</v>
      </c>
      <c r="C24">
        <v>27.723485773259949</v>
      </c>
      <c r="D24">
        <v>219.57000732421881</v>
      </c>
      <c r="E24">
        <v>232.5299987792969</v>
      </c>
      <c r="F24">
        <f>(Table[[#This Row],[price_lag]] - Table[[#This Row],[price]]) / Table[[#This Row],[price]]</f>
        <v>5.9024416007516324E-2</v>
      </c>
    </row>
    <row r="25" spans="1:6" hidden="1" x14ac:dyDescent="0.2">
      <c r="A25" t="s">
        <v>5</v>
      </c>
      <c r="B25" t="s">
        <v>29</v>
      </c>
      <c r="C25">
        <v>90.486729039555101</v>
      </c>
      <c r="D25">
        <v>40.900001525878913</v>
      </c>
      <c r="E25">
        <v>41.950000762939453</v>
      </c>
      <c r="F25">
        <f>(Table[[#This Row],[price_lag]] - Table[[#This Row],[price]]) / Table[[#This Row],[price]]</f>
        <v>2.5672352026592644E-2</v>
      </c>
    </row>
    <row r="26" spans="1:6" hidden="1" x14ac:dyDescent="0.2">
      <c r="A26" t="s">
        <v>5</v>
      </c>
      <c r="B26" t="s">
        <v>30</v>
      </c>
      <c r="C26">
        <v>10.931838313235509</v>
      </c>
      <c r="D26">
        <v>103.6338272094727</v>
      </c>
      <c r="E26">
        <v>100.7399978637695</v>
      </c>
      <c r="F26">
        <f>(Table[[#This Row],[price_lag]] - Table[[#This Row],[price]]) / Table[[#This Row],[price]]</f>
        <v>-2.7923598149607702E-2</v>
      </c>
    </row>
    <row r="27" spans="1:6" hidden="1" x14ac:dyDescent="0.2">
      <c r="A27" t="s">
        <v>5</v>
      </c>
      <c r="B27" t="s">
        <v>31</v>
      </c>
      <c r="C27">
        <v>15.332398047813999</v>
      </c>
      <c r="D27">
        <v>111.61985778808589</v>
      </c>
      <c r="E27">
        <v>115.9899978637695</v>
      </c>
      <c r="F27">
        <f>(Table[[#This Row],[price_lag]] - Table[[#This Row],[price]]) / Table[[#This Row],[price]]</f>
        <v>3.9151994656546396E-2</v>
      </c>
    </row>
    <row r="28" spans="1:6" hidden="1" x14ac:dyDescent="0.2">
      <c r="A28" t="s">
        <v>5</v>
      </c>
      <c r="B28" t="s">
        <v>32</v>
      </c>
      <c r="C28">
        <v>19.962929988252949</v>
      </c>
      <c r="D28">
        <v>330.58612060546881</v>
      </c>
      <c r="E28">
        <v>372.5623779296875</v>
      </c>
      <c r="F28">
        <f>(Table[[#This Row],[price_lag]] - Table[[#This Row],[price]]) / Table[[#This Row],[price]]</f>
        <v>0.12697525609163246</v>
      </c>
    </row>
    <row r="29" spans="1:6" hidden="1" x14ac:dyDescent="0.2">
      <c r="A29" t="s">
        <v>5</v>
      </c>
      <c r="B29" t="s">
        <v>33</v>
      </c>
      <c r="C29">
        <v>20.779378363426702</v>
      </c>
      <c r="D29">
        <v>78.130462646484375</v>
      </c>
      <c r="E29">
        <v>86.129997253417969</v>
      </c>
      <c r="F29">
        <f>(Table[[#This Row],[price_lag]] - Table[[#This Row],[price]]) / Table[[#This Row],[price]]</f>
        <v>0.10238688388585329</v>
      </c>
    </row>
    <row r="30" spans="1:6" hidden="1" x14ac:dyDescent="0.2">
      <c r="A30" t="s">
        <v>5</v>
      </c>
      <c r="B30" t="s">
        <v>34</v>
      </c>
      <c r="C30">
        <v>26.163006876851171</v>
      </c>
      <c r="D30">
        <v>190.46669006347659</v>
      </c>
      <c r="E30">
        <v>176.7200012207031</v>
      </c>
      <c r="F30">
        <f>(Table[[#This Row],[price_lag]] - Table[[#This Row],[price]]) / Table[[#This Row],[price]]</f>
        <v>-7.217371624504082E-2</v>
      </c>
    </row>
    <row r="31" spans="1:6" hidden="1" x14ac:dyDescent="0.2">
      <c r="A31" t="s">
        <v>5</v>
      </c>
      <c r="B31" t="s">
        <v>35</v>
      </c>
      <c r="C31">
        <v>17.822409167732161</v>
      </c>
      <c r="D31">
        <v>138.30189514160159</v>
      </c>
      <c r="E31">
        <v>131.1300048828125</v>
      </c>
      <c r="F31">
        <f>(Table[[#This Row],[price_lag]] - Table[[#This Row],[price]]) / Table[[#This Row],[price]]</f>
        <v>-5.1856775002584662E-2</v>
      </c>
    </row>
    <row r="32" spans="1:6" hidden="1" x14ac:dyDescent="0.2">
      <c r="A32" t="s">
        <v>5</v>
      </c>
      <c r="B32" t="s">
        <v>36</v>
      </c>
      <c r="C32">
        <v>12.923616693289249</v>
      </c>
      <c r="D32">
        <v>489.54660034179688</v>
      </c>
      <c r="E32">
        <v>494.47000122070312</v>
      </c>
      <c r="F32">
        <f>(Table[[#This Row],[price_lag]] - Table[[#This Row],[price]]) / Table[[#This Row],[price]]</f>
        <v>1.0057062750448634E-2</v>
      </c>
    </row>
    <row r="33" spans="1:6" hidden="1" x14ac:dyDescent="0.2">
      <c r="A33" t="s">
        <v>5</v>
      </c>
      <c r="B33" t="s">
        <v>37</v>
      </c>
      <c r="C33">
        <v>29.147120884486601</v>
      </c>
      <c r="D33">
        <v>187.70745849609381</v>
      </c>
      <c r="E33">
        <v>207.0299987792969</v>
      </c>
      <c r="F33">
        <f>(Table[[#This Row],[price_lag]] - Table[[#This Row],[price]]) / Table[[#This Row],[price]]</f>
        <v>0.10293965108267235</v>
      </c>
    </row>
    <row r="34" spans="1:6" hidden="1" x14ac:dyDescent="0.2">
      <c r="A34" t="s">
        <v>5</v>
      </c>
      <c r="B34" t="s">
        <v>38</v>
      </c>
      <c r="C34">
        <v>11.714109848175561</v>
      </c>
      <c r="D34">
        <v>280.20150756835938</v>
      </c>
      <c r="E34">
        <v>328.69000244140619</v>
      </c>
      <c r="F34">
        <f>(Table[[#This Row],[price_lag]] - Table[[#This Row],[price]]) / Table[[#This Row],[price]]</f>
        <v>0.17304865806697103</v>
      </c>
    </row>
    <row r="35" spans="1:6" hidden="1" x14ac:dyDescent="0.2">
      <c r="A35" t="s">
        <v>5</v>
      </c>
      <c r="B35" t="s">
        <v>39</v>
      </c>
      <c r="C35">
        <v>30.272508135028911</v>
      </c>
      <c r="D35">
        <v>123.511833190918</v>
      </c>
      <c r="E35">
        <v>136.19999694824219</v>
      </c>
      <c r="F35">
        <f>(Table[[#This Row],[price_lag]] - Table[[#This Row],[price]]) / Table[[#This Row],[price]]</f>
        <v>0.10272832512907086</v>
      </c>
    </row>
    <row r="36" spans="1:6" hidden="1" x14ac:dyDescent="0.2">
      <c r="A36" t="s">
        <v>5</v>
      </c>
      <c r="B36" t="s">
        <v>40</v>
      </c>
      <c r="C36">
        <v>38.255510330200202</v>
      </c>
      <c r="D36">
        <v>244.83526611328119</v>
      </c>
      <c r="E36">
        <v>274.82000732421881</v>
      </c>
      <c r="F36">
        <f>(Table[[#This Row],[price_lag]] - Table[[#This Row],[price]]) / Table[[#This Row],[price]]</f>
        <v>0.12246904494985691</v>
      </c>
    </row>
    <row r="37" spans="1:6" hidden="1" x14ac:dyDescent="0.2">
      <c r="A37" t="s">
        <v>5</v>
      </c>
      <c r="B37" t="s">
        <v>41</v>
      </c>
      <c r="C37">
        <v>42.049526718427551</v>
      </c>
      <c r="D37">
        <v>356.57998657226562</v>
      </c>
      <c r="E37">
        <v>356.489990234375</v>
      </c>
      <c r="F37">
        <f>(Table[[#This Row],[price_lag]] - Table[[#This Row],[price]]) / Table[[#This Row],[price]]</f>
        <v>-2.5238751831178853E-4</v>
      </c>
    </row>
    <row r="38" spans="1:6" hidden="1" x14ac:dyDescent="0.2">
      <c r="A38" t="s">
        <v>5</v>
      </c>
      <c r="B38" t="s">
        <v>42</v>
      </c>
      <c r="C38">
        <v>10.43201747693514</v>
      </c>
      <c r="D38">
        <v>23.784999847412109</v>
      </c>
      <c r="E38">
        <v>24.46733283996582</v>
      </c>
      <c r="F38">
        <f>(Table[[#This Row],[price_lag]] - Table[[#This Row],[price]]) / Table[[#This Row],[price]]</f>
        <v>2.8687534031157504E-2</v>
      </c>
    </row>
    <row r="39" spans="1:6" hidden="1" x14ac:dyDescent="0.2">
      <c r="A39" t="s">
        <v>5</v>
      </c>
      <c r="B39" t="s">
        <v>43</v>
      </c>
      <c r="C39">
        <v>11.76857914484984</v>
      </c>
      <c r="D39">
        <v>132.74957275390619</v>
      </c>
      <c r="E39">
        <v>146.05999755859381</v>
      </c>
      <c r="F39">
        <f>(Table[[#This Row],[price_lag]] - Table[[#This Row],[price]]) / Table[[#This Row],[price]]</f>
        <v>0.10026717622182291</v>
      </c>
    </row>
    <row r="40" spans="1:6" hidden="1" x14ac:dyDescent="0.2">
      <c r="A40" t="s">
        <v>5</v>
      </c>
      <c r="B40" t="s">
        <v>44</v>
      </c>
      <c r="C40">
        <v>34.376136161185599</v>
      </c>
      <c r="D40">
        <v>254.38340759277341</v>
      </c>
      <c r="E40">
        <v>273.07998657226562</v>
      </c>
      <c r="F40">
        <f>(Table[[#This Row],[price_lag]] - Table[[#This Row],[price]]) / Table[[#This Row],[price]]</f>
        <v>7.3497635543204959E-2</v>
      </c>
    </row>
    <row r="41" spans="1:6" hidden="1" x14ac:dyDescent="0.2">
      <c r="A41" t="s">
        <v>5</v>
      </c>
      <c r="B41" t="s">
        <v>45</v>
      </c>
      <c r="C41">
        <v>21.374420740614379</v>
      </c>
      <c r="D41">
        <v>204.33946228027341</v>
      </c>
      <c r="E41">
        <v>259.97000122070312</v>
      </c>
      <c r="F41">
        <f>(Table[[#This Row],[price_lag]] - Table[[#This Row],[price]]) / Table[[#This Row],[price]]</f>
        <v>0.27224569507835195</v>
      </c>
    </row>
    <row r="42" spans="1:6" hidden="1" x14ac:dyDescent="0.2">
      <c r="A42" t="s">
        <v>5</v>
      </c>
      <c r="B42" t="s">
        <v>46</v>
      </c>
      <c r="C42">
        <v>0</v>
      </c>
      <c r="D42">
        <v>86.220001220703125</v>
      </c>
      <c r="E42">
        <v>76.900001525878906</v>
      </c>
      <c r="F42">
        <f>(Table[[#This Row],[price_lag]] - Table[[#This Row],[price]]) / Table[[#This Row],[price]]</f>
        <v>-0.10809556440352153</v>
      </c>
    </row>
    <row r="43" spans="1:6" hidden="1" x14ac:dyDescent="0.2">
      <c r="A43" t="s">
        <v>5</v>
      </c>
      <c r="B43" t="s">
        <v>47</v>
      </c>
      <c r="C43">
        <v>6.2486228207254539</v>
      </c>
      <c r="D43">
        <v>90.730003356933594</v>
      </c>
      <c r="E43">
        <v>96.660003662109375</v>
      </c>
      <c r="F43">
        <f>(Table[[#This Row],[price_lag]] - Table[[#This Row],[price]]) / Table[[#This Row],[price]]</f>
        <v>6.5358757696139885E-2</v>
      </c>
    </row>
    <row r="44" spans="1:6" hidden="1" x14ac:dyDescent="0.2">
      <c r="A44" t="s">
        <v>5</v>
      </c>
      <c r="B44" t="s">
        <v>48</v>
      </c>
      <c r="C44">
        <v>65.886925862289885</v>
      </c>
      <c r="D44">
        <v>59.240779876708977</v>
      </c>
      <c r="E44">
        <v>58.169998168945312</v>
      </c>
      <c r="F44">
        <f>(Table[[#This Row],[price_lag]] - Table[[#This Row],[price]]) / Table[[#This Row],[price]]</f>
        <v>-1.8075077843204623E-2</v>
      </c>
    </row>
    <row r="45" spans="1:6" hidden="1" x14ac:dyDescent="0.2">
      <c r="A45" t="s">
        <v>5</v>
      </c>
      <c r="B45" t="s">
        <v>49</v>
      </c>
      <c r="C45">
        <v>53.569855409509991</v>
      </c>
      <c r="D45">
        <v>145.71000671386719</v>
      </c>
      <c r="E45">
        <v>132.44000244140619</v>
      </c>
      <c r="F45">
        <f>(Table[[#This Row],[price_lag]] - Table[[#This Row],[price]]) / Table[[#This Row],[price]]</f>
        <v>-9.1071331144191706E-2</v>
      </c>
    </row>
    <row r="46" spans="1:6" hidden="1" x14ac:dyDescent="0.2">
      <c r="A46" t="s">
        <v>5</v>
      </c>
      <c r="B46" t="s">
        <v>50</v>
      </c>
      <c r="C46">
        <v>72.67540179059533</v>
      </c>
      <c r="D46">
        <v>308.91958618164062</v>
      </c>
      <c r="E46">
        <v>261.82998657226562</v>
      </c>
      <c r="F46">
        <f>(Table[[#This Row],[price_lag]] - Table[[#This Row],[price]]) / Table[[#This Row],[price]]</f>
        <v>-0.15243319529013916</v>
      </c>
    </row>
    <row r="47" spans="1:6" hidden="1" x14ac:dyDescent="0.2">
      <c r="A47" t="s">
        <v>5</v>
      </c>
      <c r="B47" t="s">
        <v>51</v>
      </c>
      <c r="C47">
        <v>10.33355303651072</v>
      </c>
      <c r="D47">
        <v>215.76458740234381</v>
      </c>
      <c r="E47">
        <v>242.1300048828125</v>
      </c>
      <c r="F47">
        <f>(Table[[#This Row],[price_lag]] - Table[[#This Row],[price]]) / Table[[#This Row],[price]]</f>
        <v>0.12219529533502257</v>
      </c>
    </row>
    <row r="48" spans="1:6" hidden="1" x14ac:dyDescent="0.2">
      <c r="A48" t="s">
        <v>5</v>
      </c>
      <c r="B48" t="s">
        <v>52</v>
      </c>
      <c r="C48">
        <v>5.3518295288085938</v>
      </c>
      <c r="D48">
        <v>27.61544036865234</v>
      </c>
      <c r="E48">
        <v>24.52249717712402</v>
      </c>
      <c r="F48">
        <f>(Table[[#This Row],[price_lag]] - Table[[#This Row],[price]]) / Table[[#This Row],[price]]</f>
        <v>-0.11200050226391732</v>
      </c>
    </row>
    <row r="49" spans="1:6" hidden="1" x14ac:dyDescent="0.2">
      <c r="A49" t="s">
        <v>5</v>
      </c>
      <c r="B49" t="s">
        <v>53</v>
      </c>
      <c r="C49">
        <v>39.667097430362873</v>
      </c>
      <c r="D49">
        <v>169.7751770019531</v>
      </c>
      <c r="E49">
        <v>168.58000183105469</v>
      </c>
      <c r="F49">
        <f>(Table[[#This Row],[price_lag]] - Table[[#This Row],[price]]) / Table[[#This Row],[price]]</f>
        <v>-7.0397521711001356E-3</v>
      </c>
    </row>
    <row r="50" spans="1:6" hidden="1" x14ac:dyDescent="0.2">
      <c r="A50" t="s">
        <v>5</v>
      </c>
      <c r="B50" t="s">
        <v>54</v>
      </c>
      <c r="C50">
        <v>49.327641836604712</v>
      </c>
      <c r="D50">
        <v>317.67001342773438</v>
      </c>
      <c r="E50">
        <v>299.54000854492188</v>
      </c>
      <c r="F50">
        <f>(Table[[#This Row],[price_lag]] - Table[[#This Row],[price]]) / Table[[#This Row],[price]]</f>
        <v>-5.7071817031722545E-2</v>
      </c>
    </row>
    <row r="51" spans="1:6" hidden="1" x14ac:dyDescent="0.2">
      <c r="A51" t="s">
        <v>5</v>
      </c>
      <c r="B51" t="s">
        <v>55</v>
      </c>
      <c r="C51">
        <v>29.161495971679692</v>
      </c>
      <c r="D51">
        <v>291.61495971679688</v>
      </c>
      <c r="E51">
        <v>259.52999877929688</v>
      </c>
      <c r="F51">
        <f>(Table[[#This Row],[price_lag]] - Table[[#This Row],[price]]) / Table[[#This Row],[price]]</f>
        <v>-0.11002508571117013</v>
      </c>
    </row>
    <row r="52" spans="1:6" hidden="1" x14ac:dyDescent="0.2">
      <c r="A52" t="s">
        <v>5</v>
      </c>
      <c r="B52" t="s">
        <v>56</v>
      </c>
      <c r="C52">
        <v>21.44262412222611</v>
      </c>
      <c r="D52">
        <v>4290.240234375</v>
      </c>
      <c r="E52">
        <v>3398.85009765625</v>
      </c>
      <c r="F52">
        <f>(Table[[#This Row],[price_lag]] - Table[[#This Row],[price]]) / Table[[#This Row],[price]]</f>
        <v>-0.20777161371444908</v>
      </c>
    </row>
    <row r="53" spans="1:6" hidden="1" x14ac:dyDescent="0.2">
      <c r="A53" t="s">
        <v>5</v>
      </c>
      <c r="B53" t="s">
        <v>57</v>
      </c>
      <c r="C53">
        <v>17.849133619621622</v>
      </c>
      <c r="D53">
        <v>191.34271240234381</v>
      </c>
      <c r="E53">
        <v>183.25</v>
      </c>
      <c r="F53">
        <f>(Table[[#This Row],[price_lag]] - Table[[#This Row],[price]]) / Table[[#This Row],[price]]</f>
        <v>-4.2294333035934724E-2</v>
      </c>
    </row>
    <row r="54" spans="1:6" hidden="1" x14ac:dyDescent="0.2">
      <c r="A54" t="s">
        <v>5</v>
      </c>
      <c r="B54" t="s">
        <v>58</v>
      </c>
      <c r="C54">
        <v>18.801712605700349</v>
      </c>
      <c r="D54">
        <v>161.28485107421881</v>
      </c>
      <c r="E54">
        <v>183.1600036621094</v>
      </c>
      <c r="F54">
        <f>(Table[[#This Row],[price_lag]] - Table[[#This Row],[price]]) / Table[[#This Row],[price]]</f>
        <v>0.13563054708606365</v>
      </c>
    </row>
    <row r="55" spans="1:6" hidden="1" x14ac:dyDescent="0.2">
      <c r="A55" t="s">
        <v>5</v>
      </c>
      <c r="B55" t="s">
        <v>59</v>
      </c>
      <c r="C55">
        <v>0</v>
      </c>
      <c r="D55">
        <v>717.6400146484375</v>
      </c>
      <c r="E55">
        <v>572.1099853515625</v>
      </c>
      <c r="F55">
        <f>(Table[[#This Row],[price_lag]] - Table[[#This Row],[price]]) / Table[[#This Row],[price]]</f>
        <v>-0.20278973625539579</v>
      </c>
    </row>
    <row r="56" spans="1:6" hidden="1" x14ac:dyDescent="0.2">
      <c r="A56" t="s">
        <v>5</v>
      </c>
      <c r="B56" t="s">
        <v>60</v>
      </c>
      <c r="C56">
        <v>19.55226775138609</v>
      </c>
      <c r="D56">
        <v>48.4896240234375</v>
      </c>
      <c r="E56">
        <v>46.090000152587891</v>
      </c>
      <c r="F56">
        <f>(Table[[#This Row],[price_lag]] - Table[[#This Row],[price]]) / Table[[#This Row],[price]]</f>
        <v>-4.9487368054034593E-2</v>
      </c>
    </row>
    <row r="57" spans="1:6" hidden="1" x14ac:dyDescent="0.2">
      <c r="A57" t="s">
        <v>5</v>
      </c>
      <c r="B57" t="s">
        <v>61</v>
      </c>
      <c r="C57">
        <v>10.63906863584357</v>
      </c>
      <c r="D57">
        <v>50.216403961181641</v>
      </c>
      <c r="E57">
        <v>53.240001678466797</v>
      </c>
      <c r="F57">
        <f>(Table[[#This Row],[price_lag]] - Table[[#This Row],[price]]) / Table[[#This Row],[price]]</f>
        <v>6.0211354831828705E-2</v>
      </c>
    </row>
    <row r="58" spans="1:6" hidden="1" x14ac:dyDescent="0.2">
      <c r="A58" t="s">
        <v>5</v>
      </c>
      <c r="B58" t="s">
        <v>62</v>
      </c>
      <c r="C58">
        <v>11.880390732376661</v>
      </c>
      <c r="D58">
        <v>51.323287963867188</v>
      </c>
      <c r="E58">
        <v>55.279998779296882</v>
      </c>
      <c r="F58">
        <f>(Table[[#This Row],[price_lag]] - Table[[#This Row],[price]]) / Table[[#This Row],[price]]</f>
        <v>7.7093868542002078E-2</v>
      </c>
    </row>
    <row r="59" spans="1:6" hidden="1" x14ac:dyDescent="0.2">
      <c r="A59" t="s">
        <v>5</v>
      </c>
      <c r="B59" t="s">
        <v>63</v>
      </c>
      <c r="C59">
        <v>0</v>
      </c>
      <c r="D59">
        <v>22.75795936584473</v>
      </c>
      <c r="E59">
        <v>19.29999923706055</v>
      </c>
      <c r="F59">
        <f>(Table[[#This Row],[price_lag]] - Table[[#This Row],[price]]) / Table[[#This Row],[price]]</f>
        <v>-0.15194508757116004</v>
      </c>
    </row>
    <row r="60" spans="1:6" hidden="1" x14ac:dyDescent="0.2">
      <c r="A60" t="s">
        <v>5</v>
      </c>
      <c r="B60" t="s">
        <v>64</v>
      </c>
      <c r="C60">
        <v>27.215899640356589</v>
      </c>
      <c r="D60">
        <v>186.15675354003909</v>
      </c>
      <c r="E60">
        <v>195.63999938964841</v>
      </c>
      <c r="F60">
        <f>(Table[[#This Row],[price_lag]] - Table[[#This Row],[price]]) / Table[[#This Row],[price]]</f>
        <v>5.0942260590989712E-2</v>
      </c>
    </row>
    <row r="61" spans="1:6" hidden="1" x14ac:dyDescent="0.2">
      <c r="A61" t="s">
        <v>5</v>
      </c>
      <c r="B61" t="s">
        <v>65</v>
      </c>
      <c r="C61">
        <v>8.8043435433827675</v>
      </c>
      <c r="D61">
        <v>502.739990234375</v>
      </c>
      <c r="E61">
        <v>503.70999145507812</v>
      </c>
      <c r="F61">
        <f>(Table[[#This Row],[price_lag]] - Table[[#This Row],[price]]) / Table[[#This Row],[price]]</f>
        <v>1.9294292070358577E-3</v>
      </c>
    </row>
    <row r="62" spans="1:6" hidden="1" x14ac:dyDescent="0.2">
      <c r="A62" t="s">
        <v>5</v>
      </c>
      <c r="B62" t="s">
        <v>66</v>
      </c>
      <c r="C62">
        <v>27.84866503815153</v>
      </c>
      <c r="D62">
        <v>74.634422302246094</v>
      </c>
      <c r="E62">
        <v>67.830001831054688</v>
      </c>
      <c r="F62">
        <f>(Table[[#This Row],[price_lag]] - Table[[#This Row],[price]]) / Table[[#This Row],[price]]</f>
        <v>-9.1170002544343806E-2</v>
      </c>
    </row>
    <row r="63" spans="1:6" hidden="1" x14ac:dyDescent="0.2">
      <c r="A63" t="s">
        <v>5</v>
      </c>
      <c r="B63" t="s">
        <v>67</v>
      </c>
      <c r="C63">
        <v>55.5550537109375</v>
      </c>
      <c r="D63">
        <v>55.5550537109375</v>
      </c>
      <c r="E63">
        <v>59.119998931884773</v>
      </c>
      <c r="F63">
        <f>(Table[[#This Row],[price_lag]] - Table[[#This Row],[price]]) / Table[[#This Row],[price]]</f>
        <v>6.4169593634024649E-2</v>
      </c>
    </row>
    <row r="64" spans="1:6" hidden="1" x14ac:dyDescent="0.2">
      <c r="A64" t="s">
        <v>5</v>
      </c>
      <c r="B64" t="s">
        <v>68</v>
      </c>
      <c r="C64">
        <v>11.01257876030304</v>
      </c>
      <c r="D64">
        <v>140.08000183105469</v>
      </c>
      <c r="E64">
        <v>176.3999938964844</v>
      </c>
      <c r="F64">
        <f>(Table[[#This Row],[price_lag]] - Table[[#This Row],[price]]) / Table[[#This Row],[price]]</f>
        <v>0.25928035116128795</v>
      </c>
    </row>
    <row r="65" spans="1:6" hidden="1" x14ac:dyDescent="0.2">
      <c r="A65" t="s">
        <v>5</v>
      </c>
      <c r="B65" t="s">
        <v>69</v>
      </c>
      <c r="C65">
        <v>33.964363473360663</v>
      </c>
      <c r="D65">
        <v>1160.22265625</v>
      </c>
      <c r="E65">
        <v>1083.31005859375</v>
      </c>
      <c r="F65">
        <f>(Table[[#This Row],[price_lag]] - Table[[#This Row],[price]]) / Table[[#This Row],[price]]</f>
        <v>-6.6291239221997394E-2</v>
      </c>
    </row>
    <row r="66" spans="1:6" hidden="1" x14ac:dyDescent="0.2">
      <c r="A66" t="s">
        <v>5</v>
      </c>
      <c r="B66" t="s">
        <v>70</v>
      </c>
      <c r="C66">
        <v>52.920947074890137</v>
      </c>
      <c r="D66">
        <v>169.34703063964841</v>
      </c>
      <c r="E66">
        <v>154.7799987792969</v>
      </c>
      <c r="F66">
        <f>(Table[[#This Row],[price_lag]] - Table[[#This Row],[price]]) / Table[[#This Row],[price]]</f>
        <v>-8.6018820674503144E-2</v>
      </c>
    </row>
    <row r="67" spans="1:6" hidden="1" x14ac:dyDescent="0.2">
      <c r="A67" t="s">
        <v>5</v>
      </c>
      <c r="B67" t="s">
        <v>71</v>
      </c>
      <c r="C67">
        <v>23.773025211535</v>
      </c>
      <c r="D67">
        <v>72.269996643066406</v>
      </c>
      <c r="E67">
        <v>65.540000915527344</v>
      </c>
      <c r="F67">
        <f>(Table[[#This Row],[price_lag]] - Table[[#This Row],[price]]) / Table[[#This Row],[price]]</f>
        <v>-9.3122956138738652E-2</v>
      </c>
    </row>
    <row r="68" spans="1:6" hidden="1" x14ac:dyDescent="0.2">
      <c r="A68" t="s">
        <v>5</v>
      </c>
      <c r="B68" t="s">
        <v>72</v>
      </c>
      <c r="C68">
        <v>14.20356348941201</v>
      </c>
      <c r="D68">
        <v>107.94708251953119</v>
      </c>
      <c r="E68">
        <v>116.35459899902339</v>
      </c>
      <c r="F68">
        <f>(Table[[#This Row],[price_lag]] - Table[[#This Row],[price]]) / Table[[#This Row],[price]]</f>
        <v>7.7885536906205907E-2</v>
      </c>
    </row>
    <row r="69" spans="1:6" hidden="1" x14ac:dyDescent="0.2">
      <c r="A69" t="s">
        <v>5</v>
      </c>
      <c r="B69" t="s">
        <v>73</v>
      </c>
      <c r="C69">
        <v>0</v>
      </c>
      <c r="D69">
        <v>215.83000183105469</v>
      </c>
      <c r="E69">
        <v>218.5</v>
      </c>
      <c r="F69">
        <f>(Table[[#This Row],[price_lag]] - Table[[#This Row],[price]]) / Table[[#This Row],[price]]</f>
        <v>1.2370838837481491E-2</v>
      </c>
    </row>
    <row r="70" spans="1:6" hidden="1" x14ac:dyDescent="0.2">
      <c r="A70" t="s">
        <v>5</v>
      </c>
      <c r="B70" t="s">
        <v>74</v>
      </c>
      <c r="C70">
        <v>15.87602955649378</v>
      </c>
      <c r="D70">
        <v>5388.95947265625</v>
      </c>
      <c r="E70">
        <v>5427.14990234375</v>
      </c>
      <c r="F70">
        <f>(Table[[#This Row],[price_lag]] - Table[[#This Row],[price]]) / Table[[#This Row],[price]]</f>
        <v>7.0867910366146638E-3</v>
      </c>
    </row>
    <row r="71" spans="1:6" hidden="1" x14ac:dyDescent="0.2">
      <c r="A71" t="s">
        <v>5</v>
      </c>
      <c r="B71" t="s">
        <v>75</v>
      </c>
      <c r="C71">
        <v>47.857841790891158</v>
      </c>
      <c r="D71">
        <v>97.629997253417969</v>
      </c>
      <c r="E71">
        <v>96.010002136230469</v>
      </c>
      <c r="F71">
        <f>(Table[[#This Row],[price_lag]] - Table[[#This Row],[price]]) / Table[[#This Row],[price]]</f>
        <v>-1.6593210721726051E-2</v>
      </c>
    </row>
    <row r="72" spans="1:6" hidden="1" x14ac:dyDescent="0.2">
      <c r="A72" t="s">
        <v>5</v>
      </c>
      <c r="B72" t="s">
        <v>76</v>
      </c>
      <c r="C72">
        <v>10.17799289138229</v>
      </c>
      <c r="D72">
        <v>43.968929290771477</v>
      </c>
      <c r="E72">
        <v>53.576847076416023</v>
      </c>
      <c r="F72">
        <f>(Table[[#This Row],[price_lag]] - Table[[#This Row],[price]]) / Table[[#This Row],[price]]</f>
        <v>0.21851607352333516</v>
      </c>
    </row>
    <row r="73" spans="1:6" hidden="1" x14ac:dyDescent="0.2">
      <c r="A73" t="s">
        <v>5</v>
      </c>
      <c r="B73" t="s">
        <v>77</v>
      </c>
      <c r="C73">
        <v>45.733328925238723</v>
      </c>
      <c r="D73">
        <v>329.27996826171881</v>
      </c>
      <c r="E73">
        <v>349.85000610351562</v>
      </c>
      <c r="F73">
        <f>(Table[[#This Row],[price_lag]] - Table[[#This Row],[price]]) / Table[[#This Row],[price]]</f>
        <v>6.2469751653545194E-2</v>
      </c>
    </row>
    <row r="74" spans="1:6" hidden="1" x14ac:dyDescent="0.2">
      <c r="A74" t="s">
        <v>5</v>
      </c>
      <c r="B74" t="s">
        <v>78</v>
      </c>
      <c r="C74">
        <v>42.05086890687334</v>
      </c>
      <c r="D74">
        <v>237.1669006347656</v>
      </c>
      <c r="E74">
        <v>225.24000549316409</v>
      </c>
      <c r="F74">
        <f>(Table[[#This Row],[price_lag]] - Table[[#This Row],[price]]) / Table[[#This Row],[price]]</f>
        <v>-5.0289037423349357E-2</v>
      </c>
    </row>
    <row r="75" spans="1:6" hidden="1" x14ac:dyDescent="0.2">
      <c r="A75" t="s">
        <v>5</v>
      </c>
      <c r="B75" t="s">
        <v>79</v>
      </c>
      <c r="C75">
        <v>34.409590328440942</v>
      </c>
      <c r="D75">
        <v>93.594085693359375</v>
      </c>
      <c r="E75">
        <v>80.220001220703125</v>
      </c>
      <c r="F75">
        <f>(Table[[#This Row],[price_lag]] - Table[[#This Row],[price]]) / Table[[#This Row],[price]]</f>
        <v>-0.14289454695325005</v>
      </c>
    </row>
    <row r="76" spans="1:6" hidden="1" x14ac:dyDescent="0.2">
      <c r="A76" t="s">
        <v>5</v>
      </c>
      <c r="B76" t="s">
        <v>80</v>
      </c>
      <c r="C76">
        <v>14.292222895520799</v>
      </c>
      <c r="D76">
        <v>26.869379043579102</v>
      </c>
      <c r="E76">
        <v>26.329999923706051</v>
      </c>
      <c r="F76">
        <f>(Table[[#This Row],[price_lag]] - Table[[#This Row],[price]]) / Table[[#This Row],[price]]</f>
        <v>-2.0074119278984393E-2</v>
      </c>
    </row>
    <row r="77" spans="1:6" hidden="1" x14ac:dyDescent="0.2">
      <c r="A77" t="s">
        <v>5</v>
      </c>
      <c r="B77" t="s">
        <v>81</v>
      </c>
      <c r="C77">
        <v>27.308558558558559</v>
      </c>
      <c r="D77">
        <v>121.25</v>
      </c>
      <c r="E77">
        <v>103.19000244140619</v>
      </c>
      <c r="F77">
        <f>(Table[[#This Row],[price_lag]] - Table[[#This Row],[price]]) / Table[[#This Row],[price]]</f>
        <v>-0.14894843347293862</v>
      </c>
    </row>
    <row r="78" spans="1:6" hidden="1" x14ac:dyDescent="0.2">
      <c r="A78" t="s">
        <v>5</v>
      </c>
      <c r="B78" t="s">
        <v>82</v>
      </c>
      <c r="C78">
        <v>23.49424297179824</v>
      </c>
      <c r="D78">
        <v>80.657615661621094</v>
      </c>
      <c r="E78">
        <v>89.680000305175781</v>
      </c>
      <c r="F78">
        <f>(Table[[#This Row],[price_lag]] - Table[[#This Row],[price]]) / Table[[#This Row],[price]]</f>
        <v>0.11186029452452266</v>
      </c>
    </row>
    <row r="79" spans="1:6" hidden="1" x14ac:dyDescent="0.2">
      <c r="A79" t="s">
        <v>5</v>
      </c>
      <c r="B79" t="s">
        <v>83</v>
      </c>
      <c r="C79">
        <v>0</v>
      </c>
      <c r="D79">
        <v>73.588760375976562</v>
      </c>
      <c r="E79">
        <v>68.569999694824219</v>
      </c>
      <c r="F79">
        <f>(Table[[#This Row],[price_lag]] - Table[[#This Row],[price]]) / Table[[#This Row],[price]]</f>
        <v>-6.8200098160516712E-2</v>
      </c>
    </row>
    <row r="80" spans="1:6" hidden="1" x14ac:dyDescent="0.2">
      <c r="A80" t="s">
        <v>5</v>
      </c>
      <c r="B80" t="s">
        <v>84</v>
      </c>
      <c r="C80">
        <v>24.24122024984921</v>
      </c>
      <c r="D80">
        <v>131.87223815917969</v>
      </c>
      <c r="E80">
        <v>161.96000671386719</v>
      </c>
      <c r="F80">
        <f>(Table[[#This Row],[price_lag]] - Table[[#This Row],[price]]) / Table[[#This Row],[price]]</f>
        <v>0.22815847349439317</v>
      </c>
    </row>
    <row r="81" spans="1:6" hidden="1" x14ac:dyDescent="0.2">
      <c r="A81" t="s">
        <v>5</v>
      </c>
      <c r="B81" t="s">
        <v>85</v>
      </c>
      <c r="C81">
        <v>82.844341925854948</v>
      </c>
      <c r="D81">
        <v>351.260009765625</v>
      </c>
      <c r="E81">
        <v>315.60000610351562</v>
      </c>
      <c r="F81">
        <f>(Table[[#This Row],[price_lag]] - Table[[#This Row],[price]]) / Table[[#This Row],[price]]</f>
        <v>-0.10152024901981635</v>
      </c>
    </row>
    <row r="82" spans="1:6" hidden="1" x14ac:dyDescent="0.2">
      <c r="A82" t="s">
        <v>5</v>
      </c>
      <c r="B82" t="s">
        <v>86</v>
      </c>
      <c r="C82">
        <v>0</v>
      </c>
      <c r="D82">
        <v>27.02499961853027</v>
      </c>
      <c r="E82">
        <v>23.520000457763668</v>
      </c>
      <c r="F82">
        <f>(Table[[#This Row],[price_lag]] - Table[[#This Row],[price]]) / Table[[#This Row],[price]]</f>
        <v>-0.12969469788126561</v>
      </c>
    </row>
    <row r="83" spans="1:6" hidden="1" x14ac:dyDescent="0.2">
      <c r="A83" t="s">
        <v>5</v>
      </c>
      <c r="B83" t="s">
        <v>87</v>
      </c>
      <c r="C83">
        <v>26.429086685180661</v>
      </c>
      <c r="D83">
        <v>105.7163467407227</v>
      </c>
      <c r="E83">
        <v>110.7200012207031</v>
      </c>
      <c r="F83">
        <f>(Table[[#This Row],[price_lag]] - Table[[#This Row],[price]]) / Table[[#This Row],[price]]</f>
        <v>4.7330943929156356E-2</v>
      </c>
    </row>
    <row r="84" spans="1:6" hidden="1" x14ac:dyDescent="0.2">
      <c r="A84" t="s">
        <v>5</v>
      </c>
      <c r="B84" t="s">
        <v>88</v>
      </c>
      <c r="C84">
        <v>10.67073080274794</v>
      </c>
      <c r="D84">
        <v>30.731704711914059</v>
      </c>
      <c r="E84">
        <v>27.643266677856449</v>
      </c>
      <c r="F84">
        <f>(Table[[#This Row],[price_lag]] - Table[[#This Row],[price]]) / Table[[#This Row],[price]]</f>
        <v>-0.10049680169093533</v>
      </c>
    </row>
    <row r="85" spans="1:6" hidden="1" x14ac:dyDescent="0.2">
      <c r="A85" t="s">
        <v>5</v>
      </c>
      <c r="B85" t="s">
        <v>89</v>
      </c>
      <c r="C85">
        <v>10.961417283083829</v>
      </c>
      <c r="D85">
        <v>211.77458190917969</v>
      </c>
      <c r="E85">
        <v>243.9700012207031</v>
      </c>
      <c r="F85">
        <f>(Table[[#This Row],[price_lag]] - Table[[#This Row],[price]]) / Table[[#This Row],[price]]</f>
        <v>0.15202683448257512</v>
      </c>
    </row>
    <row r="86" spans="1:6" hidden="1" x14ac:dyDescent="0.2">
      <c r="A86" t="s">
        <v>5</v>
      </c>
      <c r="B86" t="s">
        <v>90</v>
      </c>
      <c r="C86">
        <v>20.642852783203121</v>
      </c>
      <c r="D86">
        <v>156.0599670410156</v>
      </c>
      <c r="E86">
        <v>206.69474792480469</v>
      </c>
      <c r="F86">
        <f>(Table[[#This Row],[price_lag]] - Table[[#This Row],[price]]) / Table[[#This Row],[price]]</f>
        <v>0.32445720605900991</v>
      </c>
    </row>
    <row r="87" spans="1:6" hidden="1" x14ac:dyDescent="0.2">
      <c r="A87" t="s">
        <v>5</v>
      </c>
      <c r="B87" t="s">
        <v>91</v>
      </c>
      <c r="C87">
        <v>17.52734333276749</v>
      </c>
      <c r="D87">
        <v>44.869998931884773</v>
      </c>
      <c r="E87">
        <v>39.310001373291023</v>
      </c>
      <c r="F87">
        <f>(Table[[#This Row],[price_lag]] - Table[[#This Row],[price]]) / Table[[#This Row],[price]]</f>
        <v>-0.12391347650875019</v>
      </c>
    </row>
    <row r="88" spans="1:6" hidden="1" x14ac:dyDescent="0.2">
      <c r="A88" t="s">
        <v>5</v>
      </c>
      <c r="B88" t="s">
        <v>92</v>
      </c>
      <c r="C88">
        <v>5.1258864977681036</v>
      </c>
      <c r="D88">
        <v>28.909999847412109</v>
      </c>
      <c r="E88">
        <v>30.819999694824219</v>
      </c>
      <c r="F88">
        <f>(Table[[#This Row],[price_lag]] - Table[[#This Row],[price]]) / Table[[#This Row],[price]]</f>
        <v>6.6067099878697647E-2</v>
      </c>
    </row>
    <row r="89" spans="1:6" hidden="1" x14ac:dyDescent="0.2">
      <c r="A89" t="s">
        <v>5</v>
      </c>
      <c r="B89" t="s">
        <v>93</v>
      </c>
      <c r="C89">
        <v>29.60865592956543</v>
      </c>
      <c r="D89">
        <v>59.217311859130859</v>
      </c>
      <c r="E89">
        <v>53.201789855957031</v>
      </c>
      <c r="F89">
        <f>(Table[[#This Row],[price_lag]] - Table[[#This Row],[price]]) / Table[[#This Row],[price]]</f>
        <v>-0.10158384118285978</v>
      </c>
    </row>
    <row r="90" spans="1:6" hidden="1" x14ac:dyDescent="0.2">
      <c r="A90" t="s">
        <v>5</v>
      </c>
      <c r="B90" t="s">
        <v>94</v>
      </c>
      <c r="C90">
        <v>24.168658596435051</v>
      </c>
      <c r="D90">
        <v>474.67245483398438</v>
      </c>
      <c r="E90">
        <v>576.042236328125</v>
      </c>
      <c r="F90">
        <f>(Table[[#This Row],[price_lag]] - Table[[#This Row],[price]]) / Table[[#This Row],[price]]</f>
        <v>0.21355732876809647</v>
      </c>
    </row>
    <row r="91" spans="1:6" hidden="1" x14ac:dyDescent="0.2">
      <c r="A91" t="s">
        <v>5</v>
      </c>
      <c r="B91" t="s">
        <v>95</v>
      </c>
      <c r="C91">
        <v>21.43793706293706</v>
      </c>
      <c r="D91">
        <v>245.25</v>
      </c>
      <c r="E91">
        <v>254.53999328613281</v>
      </c>
      <c r="F91">
        <f>(Table[[#This Row],[price_lag]] - Table[[#This Row],[price]]) / Table[[#This Row],[price]]</f>
        <v>3.787968720135703E-2</v>
      </c>
    </row>
    <row r="92" spans="1:6" hidden="1" x14ac:dyDescent="0.2">
      <c r="A92" t="s">
        <v>5</v>
      </c>
      <c r="B92" t="s">
        <v>96</v>
      </c>
      <c r="C92">
        <v>32.286884745613477</v>
      </c>
      <c r="D92">
        <v>157.55999755859381</v>
      </c>
      <c r="E92">
        <v>163.30999755859381</v>
      </c>
      <c r="F92">
        <f>(Table[[#This Row],[price_lag]] - Table[[#This Row],[price]]) / Table[[#This Row],[price]]</f>
        <v>3.6494034584264798E-2</v>
      </c>
    </row>
    <row r="93" spans="1:6" hidden="1" x14ac:dyDescent="0.2">
      <c r="A93" t="s">
        <v>5</v>
      </c>
      <c r="B93" t="s">
        <v>97</v>
      </c>
      <c r="C93">
        <v>17.857312726544901</v>
      </c>
      <c r="D93">
        <v>158.57293701171881</v>
      </c>
      <c r="E93">
        <v>138.38999938964841</v>
      </c>
      <c r="F93">
        <f>(Table[[#This Row],[price_lag]] - Table[[#This Row],[price]]) / Table[[#This Row],[price]]</f>
        <v>-0.12727857604465537</v>
      </c>
    </row>
    <row r="94" spans="1:6" hidden="1" x14ac:dyDescent="0.2">
      <c r="A94" t="s">
        <v>5</v>
      </c>
      <c r="B94" t="s">
        <v>98</v>
      </c>
      <c r="C94">
        <v>0</v>
      </c>
      <c r="D94">
        <v>312.01687622070312</v>
      </c>
      <c r="E94">
        <v>340.04000854492188</v>
      </c>
      <c r="F94">
        <f>(Table[[#This Row],[price_lag]] - Table[[#This Row],[price]]) / Table[[#This Row],[price]]</f>
        <v>8.9812873789547096E-2</v>
      </c>
    </row>
    <row r="95" spans="1:6" hidden="1" x14ac:dyDescent="0.2">
      <c r="A95" t="s">
        <v>5</v>
      </c>
      <c r="B95" t="s">
        <v>99</v>
      </c>
      <c r="C95">
        <v>0</v>
      </c>
      <c r="D95">
        <v>35.680000305175781</v>
      </c>
      <c r="E95">
        <v>41.209999084472663</v>
      </c>
      <c r="F95">
        <f>(Table[[#This Row],[price_lag]] - Table[[#This Row],[price]]) / Table[[#This Row],[price]]</f>
        <v>0.15498875369949741</v>
      </c>
    </row>
    <row r="96" spans="1:6" hidden="1" x14ac:dyDescent="0.2">
      <c r="A96" t="s">
        <v>5</v>
      </c>
      <c r="B96" t="s">
        <v>100</v>
      </c>
      <c r="C96">
        <v>21.435832977294918</v>
      </c>
      <c r="D96">
        <v>38.584499359130859</v>
      </c>
      <c r="E96">
        <v>38.610000610351562</v>
      </c>
      <c r="F96">
        <f>(Table[[#This Row],[price_lag]] - Table[[#This Row],[price]]) / Table[[#This Row],[price]]</f>
        <v>6.6091958284456422E-4</v>
      </c>
    </row>
    <row r="97" spans="1:6" hidden="1" x14ac:dyDescent="0.2">
      <c r="A97" t="s">
        <v>5</v>
      </c>
      <c r="B97" t="s">
        <v>101</v>
      </c>
      <c r="C97">
        <v>10.17901276888913</v>
      </c>
      <c r="D97">
        <v>89.16815185546875</v>
      </c>
      <c r="E97">
        <v>76.930000305175781</v>
      </c>
      <c r="F97">
        <f>(Table[[#This Row],[price_lag]] - Table[[#This Row],[price]]) / Table[[#This Row],[price]]</f>
        <v>-0.13724801171307885</v>
      </c>
    </row>
    <row r="98" spans="1:6" hidden="1" x14ac:dyDescent="0.2">
      <c r="A98" t="s">
        <v>5</v>
      </c>
      <c r="B98" t="s">
        <v>102</v>
      </c>
      <c r="C98">
        <v>35.238740250870983</v>
      </c>
      <c r="D98">
        <v>156.46000671386719</v>
      </c>
      <c r="E98">
        <v>201.97999572753909</v>
      </c>
      <c r="F98">
        <f>(Table[[#This Row],[price_lag]] - Table[[#This Row],[price]]) / Table[[#This Row],[price]]</f>
        <v>0.29093689799539951</v>
      </c>
    </row>
    <row r="99" spans="1:6" hidden="1" x14ac:dyDescent="0.2">
      <c r="A99" t="s">
        <v>5</v>
      </c>
      <c r="B99" t="s">
        <v>103</v>
      </c>
      <c r="C99">
        <v>18.888826218862381</v>
      </c>
      <c r="D99">
        <v>95.199684143066406</v>
      </c>
      <c r="E99">
        <v>100.5500030517578</v>
      </c>
      <c r="F99">
        <f>(Table[[#This Row],[price_lag]] - Table[[#This Row],[price]]) / Table[[#This Row],[price]]</f>
        <v>5.620101533793867E-2</v>
      </c>
    </row>
    <row r="100" spans="1:6" hidden="1" x14ac:dyDescent="0.2">
      <c r="A100" t="s">
        <v>5</v>
      </c>
      <c r="B100" t="s">
        <v>104</v>
      </c>
      <c r="C100">
        <v>8.0914701573988967</v>
      </c>
      <c r="D100">
        <v>275.1099853515625</v>
      </c>
      <c r="E100">
        <v>209.6000061035156</v>
      </c>
      <c r="F100">
        <f>(Table[[#This Row],[price_lag]] - Table[[#This Row],[price]]) / Table[[#This Row],[price]]</f>
        <v>-0.23812286989267886</v>
      </c>
    </row>
    <row r="101" spans="1:6" hidden="1" x14ac:dyDescent="0.2">
      <c r="A101" t="s">
        <v>5</v>
      </c>
      <c r="B101" t="s">
        <v>105</v>
      </c>
      <c r="C101">
        <v>20.980163740981471</v>
      </c>
      <c r="D101">
        <v>153.5747985839844</v>
      </c>
      <c r="E101">
        <v>152.30999755859381</v>
      </c>
      <c r="F101">
        <f>(Table[[#This Row],[price_lag]] - Table[[#This Row],[price]]) / Table[[#This Row],[price]]</f>
        <v>-8.2357329265772949E-3</v>
      </c>
    </row>
    <row r="102" spans="1:6" hidden="1" x14ac:dyDescent="0.2">
      <c r="A102" t="s">
        <v>5</v>
      </c>
      <c r="B102" t="s">
        <v>106</v>
      </c>
      <c r="C102">
        <v>33.78448157474913</v>
      </c>
      <c r="D102">
        <v>39.189998626708977</v>
      </c>
      <c r="E102">
        <v>37.040000915527337</v>
      </c>
      <c r="F102">
        <f>(Table[[#This Row],[price_lag]] - Table[[#This Row],[price]]) / Table[[#This Row],[price]]</f>
        <v>-5.486087743101789E-2</v>
      </c>
    </row>
    <row r="103" spans="1:6" hidden="1" x14ac:dyDescent="0.2">
      <c r="A103" t="s">
        <v>5</v>
      </c>
      <c r="B103" t="s">
        <v>107</v>
      </c>
      <c r="C103">
        <v>9.9337799621808944</v>
      </c>
      <c r="D103">
        <v>282.25</v>
      </c>
      <c r="E103">
        <v>314.1400146484375</v>
      </c>
      <c r="F103">
        <f>(Table[[#This Row],[price_lag]] - Table[[#This Row],[price]]) / Table[[#This Row],[price]]</f>
        <v>0.11298499432573074</v>
      </c>
    </row>
    <row r="104" spans="1:6" hidden="1" x14ac:dyDescent="0.2">
      <c r="A104" t="s">
        <v>5</v>
      </c>
      <c r="B104" t="s">
        <v>108</v>
      </c>
      <c r="C104">
        <v>29.108551025390621</v>
      </c>
      <c r="D104">
        <v>87.325653076171875</v>
      </c>
      <c r="E104">
        <v>84.44000244140625</v>
      </c>
      <c r="F104">
        <f>(Table[[#This Row],[price_lag]] - Table[[#This Row],[price]]) / Table[[#This Row],[price]]</f>
        <v>-3.3044707174975811E-2</v>
      </c>
    </row>
    <row r="105" spans="1:6" hidden="1" x14ac:dyDescent="0.2">
      <c r="A105" t="s">
        <v>5</v>
      </c>
      <c r="B105" t="s">
        <v>109</v>
      </c>
      <c r="C105">
        <v>10.26646961113785</v>
      </c>
      <c r="D105">
        <v>286.63983154296881</v>
      </c>
      <c r="E105">
        <v>276.48001098632812</v>
      </c>
      <c r="F105">
        <f>(Table[[#This Row],[price_lag]] - Table[[#This Row],[price]]) / Table[[#This Row],[price]]</f>
        <v>-3.5444552496248838E-2</v>
      </c>
    </row>
    <row r="106" spans="1:6" hidden="1" x14ac:dyDescent="0.2">
      <c r="A106" t="s">
        <v>5</v>
      </c>
      <c r="B106" t="s">
        <v>110</v>
      </c>
      <c r="C106">
        <v>5.4686300943557669</v>
      </c>
      <c r="D106">
        <v>157.2778015136719</v>
      </c>
      <c r="E106">
        <v>164.94999694824219</v>
      </c>
      <c r="F106">
        <f>(Table[[#This Row],[price_lag]] - Table[[#This Row],[price]]) / Table[[#This Row],[price]]</f>
        <v>4.8781171663970342E-2</v>
      </c>
    </row>
    <row r="107" spans="1:6" hidden="1" x14ac:dyDescent="0.2">
      <c r="A107" t="s">
        <v>5</v>
      </c>
      <c r="B107" t="s">
        <v>111</v>
      </c>
      <c r="C107">
        <v>42.307530552887719</v>
      </c>
      <c r="D107">
        <v>204.76844787597659</v>
      </c>
      <c r="E107">
        <v>190.3500061035156</v>
      </c>
      <c r="F107">
        <f>(Table[[#This Row],[price_lag]] - Table[[#This Row],[price]]) / Table[[#This Row],[price]]</f>
        <v>-7.0413395823529915E-2</v>
      </c>
    </row>
    <row r="108" spans="1:6" hidden="1" x14ac:dyDescent="0.2">
      <c r="A108" t="s">
        <v>5</v>
      </c>
      <c r="B108" t="s">
        <v>112</v>
      </c>
      <c r="C108">
        <v>23.48866197797987</v>
      </c>
      <c r="D108">
        <v>67.647346496582031</v>
      </c>
      <c r="E108">
        <v>76.99798583984375</v>
      </c>
      <c r="F108">
        <f>(Table[[#This Row],[price_lag]] - Table[[#This Row],[price]]) / Table[[#This Row],[price]]</f>
        <v>0.1382262546504196</v>
      </c>
    </row>
    <row r="109" spans="1:6" hidden="1" x14ac:dyDescent="0.2">
      <c r="A109" t="s">
        <v>5</v>
      </c>
      <c r="B109" t="s">
        <v>113</v>
      </c>
      <c r="C109">
        <v>13.35553546791806</v>
      </c>
      <c r="D109">
        <v>100.8983993530273</v>
      </c>
      <c r="E109">
        <v>117.2099990844727</v>
      </c>
      <c r="F109">
        <f>(Table[[#This Row],[price_lag]] - Table[[#This Row],[price]]) / Table[[#This Row],[price]]</f>
        <v>0.16166361246597905</v>
      </c>
    </row>
    <row r="110" spans="1:6" hidden="1" x14ac:dyDescent="0.2">
      <c r="A110" t="s">
        <v>5</v>
      </c>
      <c r="B110" t="s">
        <v>114</v>
      </c>
      <c r="C110">
        <v>12.425377683819461</v>
      </c>
      <c r="D110">
        <v>52.683601379394531</v>
      </c>
      <c r="E110">
        <v>58.950000762939453</v>
      </c>
      <c r="F110">
        <f>(Table[[#This Row],[price_lag]] - Table[[#This Row],[price]]) / Table[[#This Row],[price]]</f>
        <v>0.1189440208997523</v>
      </c>
    </row>
    <row r="111" spans="1:6" hidden="1" x14ac:dyDescent="0.2">
      <c r="A111" t="s">
        <v>5</v>
      </c>
      <c r="B111" t="s">
        <v>115</v>
      </c>
      <c r="C111">
        <v>46.932590191180893</v>
      </c>
      <c r="D111">
        <v>122.0247344970703</v>
      </c>
      <c r="E111">
        <v>100.80999755859381</v>
      </c>
      <c r="F111">
        <f>(Table[[#This Row],[price_lag]] - Table[[#This Row],[price]]) / Table[[#This Row],[price]]</f>
        <v>-0.17385603849837378</v>
      </c>
    </row>
    <row r="112" spans="1:6" hidden="1" x14ac:dyDescent="0.2">
      <c r="A112" t="s">
        <v>5</v>
      </c>
      <c r="B112" t="s">
        <v>116</v>
      </c>
      <c r="C112">
        <v>27.003031657881529</v>
      </c>
      <c r="D112">
        <v>268.9501953125</v>
      </c>
      <c r="E112">
        <v>275.82998657226562</v>
      </c>
      <c r="F112">
        <f>(Table[[#This Row],[price_lag]] - Table[[#This Row],[price]]) / Table[[#This Row],[price]]</f>
        <v>2.5580168297598082E-2</v>
      </c>
    </row>
    <row r="113" spans="1:6" hidden="1" x14ac:dyDescent="0.2">
      <c r="A113" t="s">
        <v>5</v>
      </c>
      <c r="B113" t="s">
        <v>117</v>
      </c>
      <c r="C113">
        <v>20.11428809825323</v>
      </c>
      <c r="D113">
        <v>72.710174560546875</v>
      </c>
      <c r="E113">
        <v>70.419998168945312</v>
      </c>
      <c r="F113">
        <f>(Table[[#This Row],[price_lag]] - Table[[#This Row],[price]]) / Table[[#This Row],[price]]</f>
        <v>-3.1497330400362296E-2</v>
      </c>
    </row>
    <row r="114" spans="1:6" hidden="1" x14ac:dyDescent="0.2">
      <c r="A114" t="s">
        <v>5</v>
      </c>
      <c r="B114" t="s">
        <v>118</v>
      </c>
      <c r="C114">
        <v>19.14460160011469</v>
      </c>
      <c r="D114">
        <v>65.857429504394531</v>
      </c>
      <c r="E114">
        <v>70.069999694824219</v>
      </c>
      <c r="F114">
        <f>(Table[[#This Row],[price_lag]] - Table[[#This Row],[price]]) / Table[[#This Row],[price]]</f>
        <v>6.3964995629666829E-2</v>
      </c>
    </row>
    <row r="115" spans="1:6" hidden="1" x14ac:dyDescent="0.2">
      <c r="A115" t="s">
        <v>5</v>
      </c>
      <c r="B115" t="s">
        <v>119</v>
      </c>
      <c r="C115">
        <v>29.811542374747141</v>
      </c>
      <c r="D115">
        <v>66.777854919433594</v>
      </c>
      <c r="E115">
        <v>84.139999389648438</v>
      </c>
      <c r="F115">
        <f>(Table[[#This Row],[price_lag]] - Table[[#This Row],[price]]) / Table[[#This Row],[price]]</f>
        <v>0.259998535310276</v>
      </c>
    </row>
    <row r="116" spans="1:6" hidden="1" x14ac:dyDescent="0.2">
      <c r="A116" t="s">
        <v>5</v>
      </c>
      <c r="B116" t="s">
        <v>120</v>
      </c>
      <c r="C116">
        <v>51.134847005208343</v>
      </c>
      <c r="D116">
        <v>337.489990234375</v>
      </c>
      <c r="E116">
        <v>231.6000061035156</v>
      </c>
      <c r="F116">
        <f>(Table[[#This Row],[price_lag]] - Table[[#This Row],[price]]) / Table[[#This Row],[price]]</f>
        <v>-0.31375740672285574</v>
      </c>
    </row>
    <row r="117" spans="1:6" hidden="1" x14ac:dyDescent="0.2">
      <c r="A117" t="s">
        <v>5</v>
      </c>
      <c r="B117" t="s">
        <v>121</v>
      </c>
      <c r="C117">
        <v>21.682506603199041</v>
      </c>
      <c r="D117">
        <v>78.924324035644531</v>
      </c>
      <c r="E117">
        <v>79.026092529296875</v>
      </c>
      <c r="F117">
        <f>(Table[[#This Row],[price_lag]] - Table[[#This Row],[price]]) / Table[[#This Row],[price]]</f>
        <v>1.2894439692176789E-3</v>
      </c>
    </row>
    <row r="118" spans="1:6" hidden="1" x14ac:dyDescent="0.2">
      <c r="A118" t="s">
        <v>5</v>
      </c>
      <c r="B118" t="s">
        <v>122</v>
      </c>
      <c r="C118">
        <v>7.8969508083512858</v>
      </c>
      <c r="D118">
        <v>28.80014801025391</v>
      </c>
      <c r="E118">
        <v>27.762638092041019</v>
      </c>
      <c r="F118">
        <f>(Table[[#This Row],[price_lag]] - Table[[#This Row],[price]]) / Table[[#This Row],[price]]</f>
        <v>-3.6024464799399608E-2</v>
      </c>
    </row>
    <row r="119" spans="1:6" hidden="1" x14ac:dyDescent="0.2">
      <c r="A119" t="s">
        <v>5</v>
      </c>
      <c r="B119" t="s">
        <v>123</v>
      </c>
      <c r="C119">
        <v>13.192110903122851</v>
      </c>
      <c r="D119">
        <v>17.94127082824707</v>
      </c>
      <c r="E119">
        <v>17.430000305175781</v>
      </c>
      <c r="F119">
        <f>(Table[[#This Row],[price_lag]] - Table[[#This Row],[price]]) / Table[[#This Row],[price]]</f>
        <v>-2.8496895675100966E-2</v>
      </c>
    </row>
    <row r="120" spans="1:6" hidden="1" x14ac:dyDescent="0.2">
      <c r="A120" t="s">
        <v>5</v>
      </c>
      <c r="B120" t="s">
        <v>124</v>
      </c>
      <c r="C120">
        <v>16.978332961814989</v>
      </c>
      <c r="D120">
        <v>93.72039794921875</v>
      </c>
      <c r="E120">
        <v>94.099998474121094</v>
      </c>
      <c r="F120">
        <f>(Table[[#This Row],[price_lag]] - Table[[#This Row],[price]]) / Table[[#This Row],[price]]</f>
        <v>4.0503511851072765E-3</v>
      </c>
    </row>
    <row r="121" spans="1:6" hidden="1" x14ac:dyDescent="0.2">
      <c r="A121" t="s">
        <v>5</v>
      </c>
      <c r="B121" t="s">
        <v>125</v>
      </c>
      <c r="C121">
        <v>13.048394687512779</v>
      </c>
      <c r="D121">
        <v>99.689735412597656</v>
      </c>
      <c r="E121">
        <v>99.889999389648438</v>
      </c>
      <c r="F121">
        <f>(Table[[#This Row],[price_lag]] - Table[[#This Row],[price]]) / Table[[#This Row],[price]]</f>
        <v>2.008872590762982E-3</v>
      </c>
    </row>
    <row r="122" spans="1:6" hidden="1" x14ac:dyDescent="0.2">
      <c r="A122" t="s">
        <v>5</v>
      </c>
      <c r="B122" t="s">
        <v>126</v>
      </c>
      <c r="C122">
        <v>12.60577939591318</v>
      </c>
      <c r="D122">
        <v>133.62126159667969</v>
      </c>
      <c r="E122">
        <v>140.1300048828125</v>
      </c>
      <c r="F122">
        <f>(Table[[#This Row],[price_lag]] - Table[[#This Row],[price]]) / Table[[#This Row],[price]]</f>
        <v>4.8710386418732529E-2</v>
      </c>
    </row>
    <row r="123" spans="1:6" hidden="1" x14ac:dyDescent="0.2">
      <c r="A123" t="s">
        <v>5</v>
      </c>
      <c r="B123" t="s">
        <v>127</v>
      </c>
      <c r="C123">
        <v>27.57490273290033</v>
      </c>
      <c r="D123">
        <v>328.69284057617188</v>
      </c>
      <c r="E123">
        <v>357.1199951171875</v>
      </c>
      <c r="F123">
        <f>(Table[[#This Row],[price_lag]] - Table[[#This Row],[price]]) / Table[[#This Row],[price]]</f>
        <v>8.6485469203360588E-2</v>
      </c>
    </row>
    <row r="124" spans="1:6" hidden="1" x14ac:dyDescent="0.2">
      <c r="A124" t="s">
        <v>5</v>
      </c>
      <c r="B124" t="s">
        <v>128</v>
      </c>
      <c r="C124">
        <v>39.689429944097732</v>
      </c>
      <c r="D124">
        <v>68.55999755859375</v>
      </c>
      <c r="E124">
        <v>82.470001220703125</v>
      </c>
      <c r="F124">
        <f>(Table[[#This Row],[price_lag]] - Table[[#This Row],[price]]) / Table[[#This Row],[price]]</f>
        <v>0.2028880419696836</v>
      </c>
    </row>
    <row r="125" spans="1:6" hidden="1" x14ac:dyDescent="0.2">
      <c r="A125" t="s">
        <v>5</v>
      </c>
      <c r="B125" t="s">
        <v>129</v>
      </c>
      <c r="C125">
        <v>26.767857869466152</v>
      </c>
      <c r="D125">
        <v>44.970001220703118</v>
      </c>
      <c r="E125">
        <v>39.5</v>
      </c>
      <c r="F125">
        <f>(Table[[#This Row],[price_lag]] - Table[[#This Row],[price]]) / Table[[#This Row],[price]]</f>
        <v>-0.12163667049634989</v>
      </c>
    </row>
    <row r="126" spans="1:6" hidden="1" x14ac:dyDescent="0.2">
      <c r="A126" t="s">
        <v>5</v>
      </c>
      <c r="B126" t="s">
        <v>130</v>
      </c>
      <c r="C126">
        <v>40.875560760498047</v>
      </c>
      <c r="D126">
        <v>81.751121520996094</v>
      </c>
      <c r="E126">
        <v>88.860000610351562</v>
      </c>
      <c r="F126">
        <f>(Table[[#This Row],[price_lag]] - Table[[#This Row],[price]]) / Table[[#This Row],[price]]</f>
        <v>8.6957572655803866E-2</v>
      </c>
    </row>
    <row r="127" spans="1:6" hidden="1" x14ac:dyDescent="0.2">
      <c r="A127" t="s">
        <v>5</v>
      </c>
      <c r="B127" t="s">
        <v>131</v>
      </c>
      <c r="C127">
        <v>18.231645415100871</v>
      </c>
      <c r="D127">
        <v>288.05999755859381</v>
      </c>
      <c r="E127">
        <v>305.10000610351562</v>
      </c>
      <c r="F127">
        <f>(Table[[#This Row],[price_lag]] - Table[[#This Row],[price]]) / Table[[#This Row],[price]]</f>
        <v>5.9154373010281439E-2</v>
      </c>
    </row>
    <row r="128" spans="1:6" hidden="1" x14ac:dyDescent="0.2">
      <c r="A128" t="s">
        <v>5</v>
      </c>
      <c r="B128" t="s">
        <v>132</v>
      </c>
      <c r="C128">
        <v>0</v>
      </c>
      <c r="D128">
        <v>67.449569702148438</v>
      </c>
      <c r="E128">
        <v>67.370002746582031</v>
      </c>
      <c r="F128">
        <f>(Table[[#This Row],[price_lag]] - Table[[#This Row],[price]]) / Table[[#This Row],[price]]</f>
        <v>-1.1796510477052285E-3</v>
      </c>
    </row>
    <row r="129" spans="1:6" hidden="1" x14ac:dyDescent="0.2">
      <c r="A129" t="s">
        <v>5</v>
      </c>
      <c r="B129" t="s">
        <v>133</v>
      </c>
      <c r="C129">
        <v>0</v>
      </c>
      <c r="D129">
        <v>84.370002746582031</v>
      </c>
      <c r="E129">
        <v>67.860000610351562</v>
      </c>
      <c r="F129">
        <f>(Table[[#This Row],[price_lag]] - Table[[#This Row],[price]]) / Table[[#This Row],[price]]</f>
        <v>-0.19568568921137455</v>
      </c>
    </row>
    <row r="130" spans="1:6" hidden="1" x14ac:dyDescent="0.2">
      <c r="A130" t="s">
        <v>5</v>
      </c>
      <c r="B130" t="s">
        <v>134</v>
      </c>
      <c r="C130">
        <v>39.299418650516849</v>
      </c>
      <c r="D130">
        <v>924.32232666015625</v>
      </c>
      <c r="E130">
        <v>865.6500244140625</v>
      </c>
      <c r="F130">
        <f>(Table[[#This Row],[price_lag]] - Table[[#This Row],[price]]) / Table[[#This Row],[price]]</f>
        <v>-6.3476019732308903E-2</v>
      </c>
    </row>
    <row r="131" spans="1:6" hidden="1" x14ac:dyDescent="0.2">
      <c r="A131" t="s">
        <v>5</v>
      </c>
      <c r="B131" t="s">
        <v>135</v>
      </c>
      <c r="C131">
        <v>13.95885717301142</v>
      </c>
      <c r="D131">
        <v>23.45088005065918</v>
      </c>
      <c r="E131">
        <v>26.559999465942379</v>
      </c>
      <c r="F131">
        <f>(Table[[#This Row],[price_lag]] - Table[[#This Row],[price]]) / Table[[#This Row],[price]]</f>
        <v>0.13258007411947023</v>
      </c>
    </row>
    <row r="132" spans="1:6" hidden="1" x14ac:dyDescent="0.2">
      <c r="A132" t="s">
        <v>5</v>
      </c>
      <c r="B132" t="s">
        <v>136</v>
      </c>
      <c r="C132">
        <v>0</v>
      </c>
      <c r="D132">
        <v>490.3800048828125</v>
      </c>
      <c r="E132">
        <v>475.6300048828125</v>
      </c>
      <c r="F132">
        <f>(Table[[#This Row],[price_lag]] - Table[[#This Row],[price]]) / Table[[#This Row],[price]]</f>
        <v>-3.0078714166832412E-2</v>
      </c>
    </row>
    <row r="133" spans="1:6" hidden="1" x14ac:dyDescent="0.2">
      <c r="A133" t="s">
        <v>5</v>
      </c>
      <c r="B133" t="s">
        <v>137</v>
      </c>
      <c r="C133">
        <v>32.217018024341478</v>
      </c>
      <c r="D133">
        <v>95.362373352050781</v>
      </c>
      <c r="E133">
        <v>89.099998474121094</v>
      </c>
      <c r="F133">
        <f>(Table[[#This Row],[price_lag]] - Table[[#This Row],[price]]) / Table[[#This Row],[price]]</f>
        <v>-6.566924309665384E-2</v>
      </c>
    </row>
    <row r="134" spans="1:6" hidden="1" x14ac:dyDescent="0.2">
      <c r="A134" t="s">
        <v>5</v>
      </c>
      <c r="B134" t="s">
        <v>138</v>
      </c>
      <c r="C134">
        <v>23.904880317481791</v>
      </c>
      <c r="D134">
        <v>35.379222869873047</v>
      </c>
      <c r="E134">
        <v>36.419998168945312</v>
      </c>
      <c r="F134">
        <f>(Table[[#This Row],[price_lag]] - Table[[#This Row],[price]]) / Table[[#This Row],[price]]</f>
        <v>2.9417698147308127E-2</v>
      </c>
    </row>
    <row r="135" spans="1:6" hidden="1" x14ac:dyDescent="0.2">
      <c r="A135" t="s">
        <v>5</v>
      </c>
      <c r="B135" t="s">
        <v>139</v>
      </c>
      <c r="C135">
        <v>27.09755651729623</v>
      </c>
      <c r="D135">
        <v>420.5540771484375</v>
      </c>
      <c r="E135">
        <v>513.6099853515625</v>
      </c>
      <c r="F135">
        <f>(Table[[#This Row],[price_lag]] - Table[[#This Row],[price]]) / Table[[#This Row],[price]]</f>
        <v>0.22126978017687907</v>
      </c>
    </row>
    <row r="136" spans="1:6" hidden="1" x14ac:dyDescent="0.2">
      <c r="A136" t="s">
        <v>5</v>
      </c>
      <c r="B136" t="s">
        <v>140</v>
      </c>
      <c r="C136">
        <v>0</v>
      </c>
      <c r="D136">
        <v>74.168441772460938</v>
      </c>
      <c r="E136">
        <v>79.198379516601562</v>
      </c>
      <c r="F136">
        <f>(Table[[#This Row],[price_lag]] - Table[[#This Row],[price]]) / Table[[#This Row],[price]]</f>
        <v>6.7817762163209727E-2</v>
      </c>
    </row>
    <row r="137" spans="1:6" hidden="1" x14ac:dyDescent="0.2">
      <c r="A137" t="s">
        <v>5</v>
      </c>
      <c r="B137" t="s">
        <v>141</v>
      </c>
      <c r="C137">
        <v>38.669121265411377</v>
      </c>
      <c r="D137">
        <v>197.98590087890619</v>
      </c>
      <c r="E137">
        <v>230.66999816894531</v>
      </c>
      <c r="F137">
        <f>(Table[[#This Row],[price_lag]] - Table[[#This Row],[price]]) / Table[[#This Row],[price]]</f>
        <v>0.16508295360905342</v>
      </c>
    </row>
    <row r="138" spans="1:6" hidden="1" x14ac:dyDescent="0.2">
      <c r="A138" t="s">
        <v>5</v>
      </c>
      <c r="B138" t="s">
        <v>142</v>
      </c>
      <c r="C138">
        <v>21.202688087705031</v>
      </c>
      <c r="D138">
        <v>187.4317626953125</v>
      </c>
      <c r="E138">
        <v>183.5799865722656</v>
      </c>
      <c r="F138">
        <f>(Table[[#This Row],[price_lag]] - Table[[#This Row],[price]]) / Table[[#This Row],[price]]</f>
        <v>-2.0550284901862222E-2</v>
      </c>
    </row>
    <row r="139" spans="1:6" hidden="1" x14ac:dyDescent="0.2">
      <c r="A139" t="s">
        <v>5</v>
      </c>
      <c r="B139" t="s">
        <v>143</v>
      </c>
      <c r="C139">
        <v>355.99998474121088</v>
      </c>
      <c r="D139">
        <v>142.3999938964844</v>
      </c>
      <c r="E139">
        <v>137.47999572753909</v>
      </c>
      <c r="F139">
        <f>(Table[[#This Row],[price_lag]] - Table[[#This Row],[price]]) / Table[[#This Row],[price]]</f>
        <v>-3.4550550420120334E-2</v>
      </c>
    </row>
    <row r="140" spans="1:6" hidden="1" x14ac:dyDescent="0.2">
      <c r="A140" t="s">
        <v>5</v>
      </c>
      <c r="B140" t="s">
        <v>144</v>
      </c>
      <c r="C140">
        <v>15.893540085787979</v>
      </c>
      <c r="D140">
        <v>132.8699951171875</v>
      </c>
      <c r="E140">
        <v>113.8199996948242</v>
      </c>
      <c r="F140">
        <f>(Table[[#This Row],[price_lag]] - Table[[#This Row],[price]]) / Table[[#This Row],[price]]</f>
        <v>-0.14337319276305949</v>
      </c>
    </row>
    <row r="141" spans="1:6" hidden="1" x14ac:dyDescent="0.2">
      <c r="A141" t="s">
        <v>5</v>
      </c>
      <c r="B141" t="s">
        <v>145</v>
      </c>
      <c r="C141">
        <v>0</v>
      </c>
      <c r="D141">
        <v>68.889999389648438</v>
      </c>
      <c r="E141">
        <v>69.220001220703125</v>
      </c>
      <c r="F141">
        <f>(Table[[#This Row],[price_lag]] - Table[[#This Row],[price]]) / Table[[#This Row],[price]]</f>
        <v>4.7902719404621496E-3</v>
      </c>
    </row>
    <row r="142" spans="1:6" hidden="1" x14ac:dyDescent="0.2">
      <c r="A142" t="s">
        <v>5</v>
      </c>
      <c r="B142" t="s">
        <v>146</v>
      </c>
      <c r="C142">
        <v>13.9244509267283</v>
      </c>
      <c r="D142">
        <v>101.370002746582</v>
      </c>
      <c r="E142">
        <v>105.0299987792969</v>
      </c>
      <c r="F142">
        <f>(Table[[#This Row],[price_lag]] - Table[[#This Row],[price]]) / Table[[#This Row],[price]]</f>
        <v>3.6105316499444491E-2</v>
      </c>
    </row>
    <row r="143" spans="1:6" hidden="1" x14ac:dyDescent="0.2">
      <c r="A143" t="s">
        <v>5</v>
      </c>
      <c r="B143" t="s">
        <v>147</v>
      </c>
      <c r="C143">
        <v>28.91394135915688</v>
      </c>
      <c r="D143">
        <v>455.6837158203125</v>
      </c>
      <c r="E143">
        <v>468.32000732421881</v>
      </c>
      <c r="F143">
        <f>(Table[[#This Row],[price_lag]] - Table[[#This Row],[price]]) / Table[[#This Row],[price]]</f>
        <v>2.7730399540740035E-2</v>
      </c>
    </row>
    <row r="144" spans="1:6" hidden="1" x14ac:dyDescent="0.2">
      <c r="A144" t="s">
        <v>5</v>
      </c>
      <c r="B144" t="s">
        <v>148</v>
      </c>
      <c r="C144">
        <v>15.145511465460149</v>
      </c>
      <c r="D144">
        <v>140.6513366699219</v>
      </c>
      <c r="E144">
        <v>127.36280822753911</v>
      </c>
      <c r="F144">
        <f>(Table[[#This Row],[price_lag]] - Table[[#This Row],[price]]) / Table[[#This Row],[price]]</f>
        <v>-9.4478508039835304E-2</v>
      </c>
    </row>
    <row r="145" spans="1:6" hidden="1" x14ac:dyDescent="0.2">
      <c r="A145" t="s">
        <v>5</v>
      </c>
      <c r="B145" t="s">
        <v>149</v>
      </c>
      <c r="C145">
        <v>6.4881976591337711</v>
      </c>
      <c r="D145">
        <v>56.577083587646477</v>
      </c>
      <c r="E145">
        <v>69.339996337890625</v>
      </c>
      <c r="F145">
        <f>(Table[[#This Row],[price_lag]] - Table[[#This Row],[price]]) / Table[[#This Row],[price]]</f>
        <v>0.2255844935957588</v>
      </c>
    </row>
    <row r="146" spans="1:6" hidden="1" x14ac:dyDescent="0.2">
      <c r="A146" t="s">
        <v>5</v>
      </c>
      <c r="B146" t="s">
        <v>150</v>
      </c>
      <c r="C146">
        <v>7.9898475506983759</v>
      </c>
      <c r="D146">
        <v>34.835735321044922</v>
      </c>
      <c r="E146">
        <v>36.819999694824219</v>
      </c>
      <c r="F146">
        <f>(Table[[#This Row],[price_lag]] - Table[[#This Row],[price]]) / Table[[#This Row],[price]]</f>
        <v>5.6960599668483686E-2</v>
      </c>
    </row>
    <row r="147" spans="1:6" hidden="1" x14ac:dyDescent="0.2">
      <c r="A147" t="s">
        <v>5</v>
      </c>
      <c r="B147" t="s">
        <v>151</v>
      </c>
      <c r="C147">
        <v>23.044520861481971</v>
      </c>
      <c r="D147">
        <v>67.290000915527344</v>
      </c>
      <c r="E147">
        <v>67.05999755859375</v>
      </c>
      <c r="F147">
        <f>(Table[[#This Row],[price_lag]] - Table[[#This Row],[price]]) / Table[[#This Row],[price]]</f>
        <v>-3.4180911547665007E-3</v>
      </c>
    </row>
    <row r="148" spans="1:6" hidden="1" x14ac:dyDescent="0.2">
      <c r="A148" t="s">
        <v>5</v>
      </c>
      <c r="B148" t="s">
        <v>152</v>
      </c>
      <c r="C148">
        <v>10.122578504078749</v>
      </c>
      <c r="D148">
        <v>142.1210021972656</v>
      </c>
      <c r="E148">
        <v>151.25</v>
      </c>
      <c r="F148">
        <f>(Table[[#This Row],[price_lag]] - Table[[#This Row],[price]]) / Table[[#This Row],[price]]</f>
        <v>6.4233981336996551E-2</v>
      </c>
    </row>
    <row r="149" spans="1:6" hidden="1" x14ac:dyDescent="0.2">
      <c r="A149" t="s">
        <v>5</v>
      </c>
      <c r="B149" t="s">
        <v>153</v>
      </c>
      <c r="C149">
        <v>252.2163615507238</v>
      </c>
      <c r="D149">
        <v>171.50712585449219</v>
      </c>
      <c r="E149">
        <v>156.38999938964841</v>
      </c>
      <c r="F149">
        <f>(Table[[#This Row],[price_lag]] - Table[[#This Row],[price]]) / Table[[#This Row],[price]]</f>
        <v>-8.8142847648611702E-2</v>
      </c>
    </row>
    <row r="150" spans="1:6" hidden="1" x14ac:dyDescent="0.2">
      <c r="A150" t="s">
        <v>5</v>
      </c>
      <c r="B150" t="s">
        <v>154</v>
      </c>
      <c r="C150">
        <v>19.978974759578701</v>
      </c>
      <c r="D150">
        <v>102.292350769043</v>
      </c>
      <c r="E150">
        <v>135.24320983886719</v>
      </c>
      <c r="F150">
        <f>(Table[[#This Row],[price_lag]] - Table[[#This Row],[price]]) / Table[[#This Row],[price]]</f>
        <v>0.32212437022022372</v>
      </c>
    </row>
    <row r="151" spans="1:6" hidden="1" x14ac:dyDescent="0.2">
      <c r="A151" t="s">
        <v>5</v>
      </c>
      <c r="B151" t="s">
        <v>155</v>
      </c>
      <c r="C151">
        <v>19.660417238871261</v>
      </c>
      <c r="D151">
        <v>94.370002746582031</v>
      </c>
      <c r="E151">
        <v>124.01999664306641</v>
      </c>
      <c r="F151">
        <f>(Table[[#This Row],[price_lag]] - Table[[#This Row],[price]]) / Table[[#This Row],[price]]</f>
        <v>0.31418875737564034</v>
      </c>
    </row>
    <row r="152" spans="1:6" hidden="1" x14ac:dyDescent="0.2">
      <c r="A152" t="s">
        <v>5</v>
      </c>
      <c r="B152" t="s">
        <v>156</v>
      </c>
      <c r="C152">
        <v>12.836984501430701</v>
      </c>
      <c r="D152">
        <v>60.487152099609382</v>
      </c>
      <c r="E152">
        <v>59.060001373291023</v>
      </c>
      <c r="F152">
        <f>(Table[[#This Row],[price_lag]] - Table[[#This Row],[price]]) / Table[[#This Row],[price]]</f>
        <v>-2.3594278731591593E-2</v>
      </c>
    </row>
    <row r="153" spans="1:6" hidden="1" x14ac:dyDescent="0.2">
      <c r="A153" t="s">
        <v>5</v>
      </c>
      <c r="B153" t="s">
        <v>157</v>
      </c>
      <c r="C153">
        <v>26.153896730891692</v>
      </c>
      <c r="D153">
        <v>429.97006225585938</v>
      </c>
      <c r="E153">
        <v>421.92001342773438</v>
      </c>
      <c r="F153">
        <f>(Table[[#This Row],[price_lag]] - Table[[#This Row],[price]]) / Table[[#This Row],[price]]</f>
        <v>-1.8722347285971535E-2</v>
      </c>
    </row>
    <row r="154" spans="1:6" hidden="1" x14ac:dyDescent="0.2">
      <c r="A154" t="s">
        <v>5</v>
      </c>
      <c r="B154" t="s">
        <v>158</v>
      </c>
      <c r="C154">
        <v>119.293855365954</v>
      </c>
      <c r="D154">
        <v>271.989990234375</v>
      </c>
      <c r="E154">
        <v>228.1300048828125</v>
      </c>
      <c r="F154">
        <f>(Table[[#This Row],[price_lag]] - Table[[#This Row],[price]]) / Table[[#This Row],[price]]</f>
        <v>-0.16125588046004249</v>
      </c>
    </row>
    <row r="155" spans="1:6" hidden="1" x14ac:dyDescent="0.2">
      <c r="A155" t="s">
        <v>5</v>
      </c>
      <c r="B155" t="s">
        <v>159</v>
      </c>
      <c r="C155">
        <v>18.905008489435371</v>
      </c>
      <c r="D155">
        <v>166.36407470703119</v>
      </c>
      <c r="E155">
        <v>197.7799987792969</v>
      </c>
      <c r="F155">
        <f>(Table[[#This Row],[price_lag]] - Table[[#This Row],[price]]) / Table[[#This Row],[price]]</f>
        <v>0.18883839030505514</v>
      </c>
    </row>
    <row r="156" spans="1:6" hidden="1" x14ac:dyDescent="0.2">
      <c r="A156" t="s">
        <v>5</v>
      </c>
      <c r="B156" t="s">
        <v>160</v>
      </c>
      <c r="C156">
        <v>70.607328414916992</v>
      </c>
      <c r="D156">
        <v>22.594345092773441</v>
      </c>
      <c r="E156">
        <v>23.510000228881839</v>
      </c>
      <c r="F156">
        <f>(Table[[#This Row],[price_lag]] - Table[[#This Row],[price]]) / Table[[#This Row],[price]]</f>
        <v>4.0525854250197363E-2</v>
      </c>
    </row>
    <row r="157" spans="1:6" hidden="1" x14ac:dyDescent="0.2">
      <c r="A157" t="s">
        <v>5</v>
      </c>
      <c r="B157" t="s">
        <v>161</v>
      </c>
      <c r="C157">
        <v>13.80292231740515</v>
      </c>
      <c r="D157">
        <v>168.94776916503909</v>
      </c>
      <c r="E157">
        <v>145.5299987792969</v>
      </c>
      <c r="F157">
        <f>(Table[[#This Row],[price_lag]] - Table[[#This Row],[price]]) / Table[[#This Row],[price]]</f>
        <v>-0.13860952708328569</v>
      </c>
    </row>
    <row r="158" spans="1:6" hidden="1" x14ac:dyDescent="0.2">
      <c r="A158" t="s">
        <v>5</v>
      </c>
      <c r="B158" t="s">
        <v>162</v>
      </c>
      <c r="C158">
        <v>17.346610645256419</v>
      </c>
      <c r="D158">
        <v>140.1606140136719</v>
      </c>
      <c r="E158">
        <v>129.7799987792969</v>
      </c>
      <c r="F158">
        <f>(Table[[#This Row],[price_lag]] - Table[[#This Row],[price]]) / Table[[#This Row],[price]]</f>
        <v>-7.4062284240296122E-2</v>
      </c>
    </row>
    <row r="159" spans="1:6" hidden="1" x14ac:dyDescent="0.2">
      <c r="A159" t="s">
        <v>5</v>
      </c>
      <c r="B159" t="s">
        <v>163</v>
      </c>
      <c r="C159">
        <v>16.945250916876191</v>
      </c>
      <c r="D159">
        <v>122.68361663818359</v>
      </c>
      <c r="E159">
        <v>117.6800003051758</v>
      </c>
      <c r="F159">
        <f>(Table[[#This Row],[price_lag]] - Table[[#This Row],[price]]) / Table[[#This Row],[price]]</f>
        <v>-4.0784714944982238E-2</v>
      </c>
    </row>
    <row r="160" spans="1:6" hidden="1" x14ac:dyDescent="0.2">
      <c r="A160" t="s">
        <v>5</v>
      </c>
      <c r="B160" t="s">
        <v>164</v>
      </c>
      <c r="C160">
        <v>0</v>
      </c>
      <c r="D160">
        <v>32.428859710693359</v>
      </c>
      <c r="E160">
        <v>40.680000305175781</v>
      </c>
      <c r="F160">
        <f>(Table[[#This Row],[price_lag]] - Table[[#This Row],[price]]) / Table[[#This Row],[price]]</f>
        <v>0.25443819696693259</v>
      </c>
    </row>
    <row r="161" spans="1:6" hidden="1" x14ac:dyDescent="0.2">
      <c r="A161" t="s">
        <v>5</v>
      </c>
      <c r="B161" t="s">
        <v>165</v>
      </c>
      <c r="C161">
        <v>37.949206189411441</v>
      </c>
      <c r="D161">
        <v>62.236698150634773</v>
      </c>
      <c r="E161">
        <v>64.330001831054688</v>
      </c>
      <c r="F161">
        <f>(Table[[#This Row],[price_lag]] - Table[[#This Row],[price]]) / Table[[#This Row],[price]]</f>
        <v>3.3634555537528373E-2</v>
      </c>
    </row>
    <row r="162" spans="1:6" hidden="1" x14ac:dyDescent="0.2">
      <c r="A162" t="s">
        <v>5</v>
      </c>
      <c r="B162" t="s">
        <v>166</v>
      </c>
      <c r="C162">
        <v>35.98557692307692</v>
      </c>
      <c r="D162">
        <v>374.25</v>
      </c>
      <c r="E162">
        <v>320.8599853515625</v>
      </c>
      <c r="F162">
        <f>(Table[[#This Row],[price_lag]] - Table[[#This Row],[price]]) / Table[[#This Row],[price]]</f>
        <v>-0.1426586897753841</v>
      </c>
    </row>
    <row r="163" spans="1:6" hidden="1" x14ac:dyDescent="0.2">
      <c r="A163" t="s">
        <v>5</v>
      </c>
      <c r="B163" t="s">
        <v>167</v>
      </c>
      <c r="C163">
        <v>16.30040587281152</v>
      </c>
      <c r="D163">
        <v>90.630256652832031</v>
      </c>
      <c r="E163">
        <v>87.099998474121094</v>
      </c>
      <c r="F163">
        <f>(Table[[#This Row],[price_lag]] - Table[[#This Row],[price]]) / Table[[#This Row],[price]]</f>
        <v>-3.8952313599132052E-2</v>
      </c>
    </row>
    <row r="164" spans="1:6" hidden="1" x14ac:dyDescent="0.2">
      <c r="A164" t="s">
        <v>5</v>
      </c>
      <c r="B164" t="s">
        <v>168</v>
      </c>
      <c r="C164">
        <v>33.142515756551497</v>
      </c>
      <c r="D164">
        <v>273.09432983398438</v>
      </c>
      <c r="E164">
        <v>264.48001098632812</v>
      </c>
      <c r="F164">
        <f>(Table[[#This Row],[price_lag]] - Table[[#This Row],[price]]) / Table[[#This Row],[price]]</f>
        <v>-3.1543382291726617E-2</v>
      </c>
    </row>
    <row r="165" spans="1:6" hidden="1" x14ac:dyDescent="0.2">
      <c r="A165" t="s">
        <v>5</v>
      </c>
      <c r="B165" t="s">
        <v>169</v>
      </c>
      <c r="C165">
        <v>6.2100410461425781</v>
      </c>
      <c r="D165">
        <v>53.654754638671882</v>
      </c>
      <c r="E165">
        <v>59.474323272705078</v>
      </c>
      <c r="F165">
        <f>(Table[[#This Row],[price_lag]] - Table[[#This Row],[price]]) / Table[[#This Row],[price]]</f>
        <v>0.10846324194796929</v>
      </c>
    </row>
    <row r="166" spans="1:6" hidden="1" x14ac:dyDescent="0.2">
      <c r="A166" t="s">
        <v>5</v>
      </c>
      <c r="B166" t="s">
        <v>170</v>
      </c>
      <c r="C166">
        <v>38.884998321533203</v>
      </c>
      <c r="D166">
        <v>77.769996643066406</v>
      </c>
      <c r="E166">
        <v>86.199996948242188</v>
      </c>
      <c r="F166">
        <f>(Table[[#This Row],[price_lag]] - Table[[#This Row],[price]]) / Table[[#This Row],[price]]</f>
        <v>0.10839656254411525</v>
      </c>
    </row>
    <row r="167" spans="1:6" hidden="1" x14ac:dyDescent="0.2">
      <c r="A167" t="s">
        <v>5</v>
      </c>
      <c r="B167" t="s">
        <v>171</v>
      </c>
      <c r="C167">
        <v>91.596110950816751</v>
      </c>
      <c r="D167">
        <v>201.5114440917969</v>
      </c>
      <c r="E167">
        <v>204.3500061035156</v>
      </c>
      <c r="F167">
        <f>(Table[[#This Row],[price_lag]] - Table[[#This Row],[price]]) / Table[[#This Row],[price]]</f>
        <v>1.408635635813125E-2</v>
      </c>
    </row>
    <row r="168" spans="1:6" hidden="1" x14ac:dyDescent="0.2">
      <c r="A168" t="s">
        <v>5</v>
      </c>
      <c r="B168" t="s">
        <v>172</v>
      </c>
      <c r="C168">
        <v>15.007665070234729</v>
      </c>
      <c r="D168">
        <v>321.46316528320312</v>
      </c>
      <c r="E168">
        <v>348.79998779296881</v>
      </c>
      <c r="F168">
        <f>(Table[[#This Row],[price_lag]] - Table[[#This Row],[price]]) / Table[[#This Row],[price]]</f>
        <v>8.5038739930537441E-2</v>
      </c>
    </row>
    <row r="169" spans="1:6" hidden="1" x14ac:dyDescent="0.2">
      <c r="A169" t="s">
        <v>5</v>
      </c>
      <c r="B169" t="s">
        <v>173</v>
      </c>
      <c r="C169">
        <v>28.849734797648669</v>
      </c>
      <c r="D169">
        <v>130.6132507324219</v>
      </c>
      <c r="E169">
        <v>135.28999328613281</v>
      </c>
      <c r="F169">
        <f>(Table[[#This Row],[price_lag]] - Table[[#This Row],[price]]) / Table[[#This Row],[price]]</f>
        <v>3.5806034437438662E-2</v>
      </c>
    </row>
    <row r="170" spans="1:6" hidden="1" x14ac:dyDescent="0.2">
      <c r="A170" t="s">
        <v>5</v>
      </c>
      <c r="B170" t="s">
        <v>174</v>
      </c>
      <c r="C170">
        <v>17.348038916494328</v>
      </c>
      <c r="D170">
        <v>35.389999389648438</v>
      </c>
      <c r="E170">
        <v>32.189998626708977</v>
      </c>
      <c r="F170">
        <f>(Table[[#This Row],[price_lag]] - Table[[#This Row],[price]]) / Table[[#This Row],[price]]</f>
        <v>-9.0421046005314698E-2</v>
      </c>
    </row>
    <row r="171" spans="1:6" hidden="1" x14ac:dyDescent="0.2">
      <c r="A171" t="s">
        <v>5</v>
      </c>
      <c r="B171" t="s">
        <v>175</v>
      </c>
      <c r="C171">
        <v>14.93100197084488</v>
      </c>
      <c r="D171">
        <v>92.572212219238281</v>
      </c>
      <c r="E171">
        <v>93.370002746582031</v>
      </c>
      <c r="F171">
        <f>(Table[[#This Row],[price_lag]] - Table[[#This Row],[price]]) / Table[[#This Row],[price]]</f>
        <v>8.6180345939486352E-3</v>
      </c>
    </row>
    <row r="172" spans="1:6" hidden="1" x14ac:dyDescent="0.2">
      <c r="A172" t="s">
        <v>5</v>
      </c>
      <c r="B172" t="s">
        <v>176</v>
      </c>
      <c r="C172">
        <v>10.11075693018296</v>
      </c>
      <c r="D172">
        <v>110.0050354003906</v>
      </c>
      <c r="E172">
        <v>104.66229248046881</v>
      </c>
      <c r="F172">
        <f>(Table[[#This Row],[price_lag]] - Table[[#This Row],[price]]) / Table[[#This Row],[price]]</f>
        <v>-4.8568166906865239E-2</v>
      </c>
    </row>
    <row r="173" spans="1:6" hidden="1" x14ac:dyDescent="0.2">
      <c r="A173" t="s">
        <v>5</v>
      </c>
      <c r="B173" t="s">
        <v>177</v>
      </c>
      <c r="C173">
        <v>19.634113709131881</v>
      </c>
      <c r="D173">
        <v>150.78999328613281</v>
      </c>
      <c r="E173">
        <v>206.30999755859381</v>
      </c>
      <c r="F173">
        <f>(Table[[#This Row],[price_lag]] - Table[[#This Row],[price]]) / Table[[#This Row],[price]]</f>
        <v>0.36819422206026992</v>
      </c>
    </row>
    <row r="174" spans="1:6" hidden="1" x14ac:dyDescent="0.2">
      <c r="A174" t="s">
        <v>5</v>
      </c>
      <c r="B174" t="s">
        <v>178</v>
      </c>
      <c r="C174">
        <v>25.124627572518811</v>
      </c>
      <c r="D174">
        <v>54.269195556640618</v>
      </c>
      <c r="E174">
        <v>54.630001068115227</v>
      </c>
      <c r="F174">
        <f>(Table[[#This Row],[price_lag]] - Table[[#This Row],[price]]) / Table[[#This Row],[price]]</f>
        <v>6.6484403863705261E-3</v>
      </c>
    </row>
    <row r="175" spans="1:6" hidden="1" x14ac:dyDescent="0.2">
      <c r="A175" t="s">
        <v>5</v>
      </c>
      <c r="B175" t="s">
        <v>179</v>
      </c>
      <c r="C175">
        <v>49.217282808743988</v>
      </c>
      <c r="D175">
        <v>255.92987060546881</v>
      </c>
      <c r="E175">
        <v>220.77000427246091</v>
      </c>
      <c r="F175">
        <f>(Table[[#This Row],[price_lag]] - Table[[#This Row],[price]]) / Table[[#This Row],[price]]</f>
        <v>-0.13738086238166758</v>
      </c>
    </row>
    <row r="176" spans="1:6" hidden="1" x14ac:dyDescent="0.2">
      <c r="A176" t="s">
        <v>5</v>
      </c>
      <c r="B176" t="s">
        <v>180</v>
      </c>
      <c r="C176">
        <v>50.95062255859375</v>
      </c>
      <c r="D176">
        <v>778.5255126953125</v>
      </c>
      <c r="E176">
        <v>769.71002197265625</v>
      </c>
      <c r="F176">
        <f>(Table[[#This Row],[price_lag]] - Table[[#This Row],[price]]) / Table[[#This Row],[price]]</f>
        <v>-1.1323316421752671E-2</v>
      </c>
    </row>
    <row r="177" spans="1:6" hidden="1" x14ac:dyDescent="0.2">
      <c r="A177" t="s">
        <v>5</v>
      </c>
      <c r="B177" t="s">
        <v>181</v>
      </c>
      <c r="C177">
        <v>21.058692430195059</v>
      </c>
      <c r="D177">
        <v>64.018424987792969</v>
      </c>
      <c r="E177">
        <v>62.801944732666023</v>
      </c>
      <c r="F177">
        <f>(Table[[#This Row],[price_lag]] - Table[[#This Row],[price]]) / Table[[#This Row],[price]]</f>
        <v>-1.9002033482687281E-2</v>
      </c>
    </row>
    <row r="178" spans="1:6" hidden="1" x14ac:dyDescent="0.2">
      <c r="A178" t="s">
        <v>5</v>
      </c>
      <c r="B178" t="s">
        <v>182</v>
      </c>
      <c r="C178">
        <v>20.048049266708411</v>
      </c>
      <c r="D178">
        <v>315.15533447265619</v>
      </c>
      <c r="E178">
        <v>286.35629272460938</v>
      </c>
      <c r="F178">
        <f>(Table[[#This Row],[price_lag]] - Table[[#This Row],[price]]) / Table[[#This Row],[price]]</f>
        <v>-9.1380467337593196E-2</v>
      </c>
    </row>
    <row r="179" spans="1:6" hidden="1" x14ac:dyDescent="0.2">
      <c r="A179" t="s">
        <v>5</v>
      </c>
      <c r="B179" t="s">
        <v>183</v>
      </c>
      <c r="C179">
        <v>25.881960988044739</v>
      </c>
      <c r="D179">
        <v>265.03128051757812</v>
      </c>
      <c r="E179">
        <v>261.3280029296875</v>
      </c>
      <c r="F179">
        <f>(Table[[#This Row],[price_lag]] - Table[[#This Row],[price]]) / Table[[#This Row],[price]]</f>
        <v>-1.3972983040562286E-2</v>
      </c>
    </row>
    <row r="180" spans="1:6" hidden="1" x14ac:dyDescent="0.2">
      <c r="A180" t="s">
        <v>5</v>
      </c>
      <c r="B180" t="s">
        <v>184</v>
      </c>
      <c r="C180">
        <v>168.82855341984671</v>
      </c>
      <c r="D180">
        <v>87.790847778320312</v>
      </c>
      <c r="E180">
        <v>105.8399963378906</v>
      </c>
      <c r="F180">
        <f>(Table[[#This Row],[price_lag]] - Table[[#This Row],[price]]) / Table[[#This Row],[price]]</f>
        <v>0.20559259895913054</v>
      </c>
    </row>
    <row r="181" spans="1:6" hidden="1" x14ac:dyDescent="0.2">
      <c r="A181" t="s">
        <v>5</v>
      </c>
      <c r="B181" t="s">
        <v>185</v>
      </c>
      <c r="C181">
        <v>14.37725825067028</v>
      </c>
      <c r="D181">
        <v>350.23001098632812</v>
      </c>
      <c r="E181">
        <v>341.260009765625</v>
      </c>
      <c r="F181">
        <f>(Table[[#This Row],[price_lag]] - Table[[#This Row],[price]]) / Table[[#This Row],[price]]</f>
        <v>-2.5611743538029599E-2</v>
      </c>
    </row>
    <row r="182" spans="1:6" hidden="1" x14ac:dyDescent="0.2">
      <c r="A182" t="s">
        <v>5</v>
      </c>
      <c r="B182" t="s">
        <v>186</v>
      </c>
      <c r="C182">
        <v>9.1410488758272344</v>
      </c>
      <c r="D182">
        <v>75.322242736816406</v>
      </c>
      <c r="E182">
        <v>73.199996948242188</v>
      </c>
      <c r="F182">
        <f>(Table[[#This Row],[price_lag]] - Table[[#This Row],[price]]) / Table[[#This Row],[price]]</f>
        <v>-2.8175552286587666E-2</v>
      </c>
    </row>
    <row r="183" spans="1:6" hidden="1" x14ac:dyDescent="0.2">
      <c r="A183" t="s">
        <v>5</v>
      </c>
      <c r="B183" t="s">
        <v>187</v>
      </c>
      <c r="C183">
        <v>17.76539195667614</v>
      </c>
      <c r="D183">
        <v>70.3509521484375</v>
      </c>
      <c r="E183">
        <v>67.550003051757812</v>
      </c>
      <c r="F183">
        <f>(Table[[#This Row],[price_lag]] - Table[[#This Row],[price]]) / Table[[#This Row],[price]]</f>
        <v>-3.9813947233717673E-2</v>
      </c>
    </row>
    <row r="184" spans="1:6" hidden="1" x14ac:dyDescent="0.2">
      <c r="A184" t="s">
        <v>5</v>
      </c>
      <c r="B184" t="s">
        <v>188</v>
      </c>
      <c r="C184">
        <v>12.854366130306939</v>
      </c>
      <c r="D184">
        <v>44.620384216308587</v>
      </c>
      <c r="E184">
        <v>43.919998168945312</v>
      </c>
      <c r="F184">
        <f>(Table[[#This Row],[price_lag]] - Table[[#This Row],[price]]) / Table[[#This Row],[price]]</f>
        <v>-1.5696549002536055E-2</v>
      </c>
    </row>
    <row r="185" spans="1:6" hidden="1" x14ac:dyDescent="0.2">
      <c r="A185" t="s">
        <v>5</v>
      </c>
      <c r="B185" t="s">
        <v>189</v>
      </c>
      <c r="C185">
        <v>11.492242398469349</v>
      </c>
      <c r="D185">
        <v>105.728630065918</v>
      </c>
      <c r="E185">
        <v>112.01999664306641</v>
      </c>
      <c r="F185">
        <f>(Table[[#This Row],[price_lag]] - Table[[#This Row],[price]]) / Table[[#This Row],[price]]</f>
        <v>5.9504852878789483E-2</v>
      </c>
    </row>
    <row r="186" spans="1:6" hidden="1" x14ac:dyDescent="0.2">
      <c r="A186" t="s">
        <v>5</v>
      </c>
      <c r="B186" t="s">
        <v>190</v>
      </c>
      <c r="C186">
        <v>6.8747987452241563</v>
      </c>
      <c r="D186">
        <v>213.39375305175781</v>
      </c>
      <c r="E186">
        <v>285</v>
      </c>
      <c r="F186">
        <f>(Table[[#This Row],[price_lag]] - Table[[#This Row],[price]]) / Table[[#This Row],[price]]</f>
        <v>0.33555924634248491</v>
      </c>
    </row>
    <row r="187" spans="1:6" hidden="1" x14ac:dyDescent="0.2">
      <c r="A187" t="s">
        <v>5</v>
      </c>
      <c r="B187" t="s">
        <v>191</v>
      </c>
      <c r="C187">
        <v>18.476882703376539</v>
      </c>
      <c r="D187">
        <v>121.9474258422852</v>
      </c>
      <c r="E187">
        <v>150.1199951171875</v>
      </c>
      <c r="F187">
        <f>(Table[[#This Row],[price_lag]] - Table[[#This Row],[price]]) / Table[[#This Row],[price]]</f>
        <v>0.23102225471604404</v>
      </c>
    </row>
    <row r="188" spans="1:6" hidden="1" x14ac:dyDescent="0.2">
      <c r="A188" t="s">
        <v>5</v>
      </c>
      <c r="B188" t="s">
        <v>192</v>
      </c>
      <c r="C188">
        <v>44.62890625</v>
      </c>
      <c r="D188">
        <v>139.2421875</v>
      </c>
      <c r="E188">
        <v>131.55999755859381</v>
      </c>
      <c r="F188">
        <f>(Table[[#This Row],[price_lag]] - Table[[#This Row],[price]]) / Table[[#This Row],[price]]</f>
        <v>-5.5171425265106475E-2</v>
      </c>
    </row>
    <row r="189" spans="1:6" hidden="1" x14ac:dyDescent="0.2">
      <c r="A189" t="s">
        <v>5</v>
      </c>
      <c r="B189" t="s">
        <v>193</v>
      </c>
      <c r="C189">
        <v>15.87675809860229</v>
      </c>
      <c r="D189">
        <v>111.7723770141602</v>
      </c>
      <c r="E189">
        <v>120.9899978637695</v>
      </c>
      <c r="F189">
        <f>(Table[[#This Row],[price_lag]] - Table[[#This Row],[price]]) / Table[[#This Row],[price]]</f>
        <v>8.2467789411345735E-2</v>
      </c>
    </row>
    <row r="190" spans="1:6" hidden="1" x14ac:dyDescent="0.2">
      <c r="A190" t="s">
        <v>5</v>
      </c>
      <c r="B190" t="s">
        <v>194</v>
      </c>
      <c r="C190">
        <v>24.48409109404593</v>
      </c>
      <c r="D190">
        <v>323.19000244140619</v>
      </c>
      <c r="E190">
        <v>259.3699951171875</v>
      </c>
      <c r="F190">
        <f>(Table[[#This Row],[price_lag]] - Table[[#This Row],[price]]) / Table[[#This Row],[price]]</f>
        <v>-0.1974690022652825</v>
      </c>
    </row>
    <row r="191" spans="1:6" hidden="1" x14ac:dyDescent="0.2">
      <c r="A191" t="s">
        <v>5</v>
      </c>
      <c r="B191" t="s">
        <v>195</v>
      </c>
      <c r="C191">
        <v>17.52788534328451</v>
      </c>
      <c r="D191">
        <v>285.35397338867188</v>
      </c>
      <c r="E191">
        <v>291.39999389648438</v>
      </c>
      <c r="F191">
        <f>(Table[[#This Row],[price_lag]] - Table[[#This Row],[price]]) / Table[[#This Row],[price]]</f>
        <v>2.1187791555919221E-2</v>
      </c>
    </row>
    <row r="192" spans="1:6" hidden="1" x14ac:dyDescent="0.2">
      <c r="A192" t="s">
        <v>5</v>
      </c>
      <c r="B192" t="s">
        <v>196</v>
      </c>
      <c r="C192">
        <v>57.736498043860912</v>
      </c>
      <c r="D192">
        <v>1496.530029296875</v>
      </c>
      <c r="E192">
        <v>1745.75</v>
      </c>
      <c r="F192">
        <f>(Table[[#This Row],[price_lag]] - Table[[#This Row],[price]]) / Table[[#This Row],[price]]</f>
        <v>0.16653188764960347</v>
      </c>
    </row>
    <row r="193" spans="1:6" hidden="1" x14ac:dyDescent="0.2">
      <c r="A193" t="s">
        <v>5</v>
      </c>
      <c r="B193" t="s">
        <v>197</v>
      </c>
      <c r="C193">
        <v>42.057228088378913</v>
      </c>
      <c r="D193">
        <v>48.786384582519531</v>
      </c>
      <c r="E193">
        <v>40.869998931884773</v>
      </c>
      <c r="F193">
        <f>(Table[[#This Row],[price_lag]] - Table[[#This Row],[price]]) / Table[[#This Row],[price]]</f>
        <v>-0.16226629044922605</v>
      </c>
    </row>
    <row r="194" spans="1:6" hidden="1" x14ac:dyDescent="0.2">
      <c r="A194" t="s">
        <v>5</v>
      </c>
      <c r="B194" t="s">
        <v>198</v>
      </c>
      <c r="C194">
        <v>35.890200518179633</v>
      </c>
      <c r="D194">
        <v>99.056953430175781</v>
      </c>
      <c r="E194">
        <v>100.66867828369141</v>
      </c>
      <c r="F194">
        <f>(Table[[#This Row],[price_lag]] - Table[[#This Row],[price]]) / Table[[#This Row],[price]]</f>
        <v>1.6270688706893386E-2</v>
      </c>
    </row>
    <row r="195" spans="1:6" hidden="1" x14ac:dyDescent="0.2">
      <c r="A195" t="s">
        <v>5</v>
      </c>
      <c r="B195" t="s">
        <v>199</v>
      </c>
      <c r="C195">
        <v>16.94070961763715</v>
      </c>
      <c r="D195">
        <v>234.60748291015619</v>
      </c>
      <c r="E195">
        <v>291.05999755859381</v>
      </c>
      <c r="F195">
        <f>(Table[[#This Row],[price_lag]] - Table[[#This Row],[price]]) / Table[[#This Row],[price]]</f>
        <v>0.24062537966896952</v>
      </c>
    </row>
    <row r="196" spans="1:6" hidden="1" x14ac:dyDescent="0.2">
      <c r="A196" t="s">
        <v>5</v>
      </c>
      <c r="B196" t="s">
        <v>200</v>
      </c>
      <c r="C196">
        <v>32.127275653913912</v>
      </c>
      <c r="D196">
        <v>65.539642333984375</v>
      </c>
      <c r="E196">
        <v>67.169998168945312</v>
      </c>
      <c r="F196">
        <f>(Table[[#This Row],[price_lag]] - Table[[#This Row],[price]]) / Table[[#This Row],[price]]</f>
        <v>2.4875873241004039E-2</v>
      </c>
    </row>
    <row r="197" spans="1:6" hidden="1" x14ac:dyDescent="0.2">
      <c r="A197" t="s">
        <v>5</v>
      </c>
      <c r="B197" t="s">
        <v>201</v>
      </c>
      <c r="C197">
        <v>12.136009761265351</v>
      </c>
      <c r="D197">
        <v>44.175075531005859</v>
      </c>
      <c r="E197">
        <v>47.129997253417969</v>
      </c>
      <c r="F197">
        <f>(Table[[#This Row],[price_lag]] - Table[[#This Row],[price]]) / Table[[#This Row],[price]]</f>
        <v>6.6891152689441166E-2</v>
      </c>
    </row>
    <row r="198" spans="1:6" hidden="1" x14ac:dyDescent="0.2">
      <c r="A198" t="s">
        <v>5</v>
      </c>
      <c r="B198" t="s">
        <v>202</v>
      </c>
      <c r="C198">
        <v>12.9723528693704</v>
      </c>
      <c r="D198">
        <v>220.5299987792969</v>
      </c>
      <c r="E198">
        <v>264.29998779296881</v>
      </c>
      <c r="F198">
        <f>(Table[[#This Row],[price_lag]] - Table[[#This Row],[price]]) / Table[[#This Row],[price]]</f>
        <v>0.19847634904980091</v>
      </c>
    </row>
    <row r="199" spans="1:6" hidden="1" x14ac:dyDescent="0.2">
      <c r="A199" t="s">
        <v>5</v>
      </c>
      <c r="B199" t="s">
        <v>203</v>
      </c>
      <c r="C199">
        <v>14.926146206102869</v>
      </c>
      <c r="D199">
        <v>45.375484466552727</v>
      </c>
      <c r="E199">
        <v>44.959999084472663</v>
      </c>
      <c r="F199">
        <f>(Table[[#This Row],[price_lag]] - Table[[#This Row],[price]]) / Table[[#This Row],[price]]</f>
        <v>-9.1566048707717347E-3</v>
      </c>
    </row>
    <row r="200" spans="1:6" hidden="1" x14ac:dyDescent="0.2">
      <c r="A200" t="s">
        <v>5</v>
      </c>
      <c r="B200" t="s">
        <v>204</v>
      </c>
      <c r="C200">
        <v>21.854615467871739</v>
      </c>
      <c r="D200">
        <v>128.92999267578119</v>
      </c>
      <c r="E200">
        <v>67.540000915527344</v>
      </c>
      <c r="F200">
        <f>(Table[[#This Row],[price_lag]] - Table[[#This Row],[price]]) / Table[[#This Row],[price]]</f>
        <v>-0.47614981189544137</v>
      </c>
    </row>
    <row r="201" spans="1:6" hidden="1" x14ac:dyDescent="0.2">
      <c r="A201" t="s">
        <v>5</v>
      </c>
      <c r="B201" t="s">
        <v>205</v>
      </c>
      <c r="C201">
        <v>4.8455992683035429</v>
      </c>
      <c r="D201">
        <v>11.823262214660639</v>
      </c>
      <c r="E201">
        <v>13.22999954223633</v>
      </c>
      <c r="F201">
        <f>(Table[[#This Row],[price_lag]] - Table[[#This Row],[price]]) / Table[[#This Row],[price]]</f>
        <v>0.11898047273546559</v>
      </c>
    </row>
    <row r="202" spans="1:6" hidden="1" x14ac:dyDescent="0.2">
      <c r="A202" t="s">
        <v>5</v>
      </c>
      <c r="B202" t="s">
        <v>206</v>
      </c>
      <c r="C202">
        <v>33.36508009168837</v>
      </c>
      <c r="D202">
        <v>84.080001831054688</v>
      </c>
      <c r="E202">
        <v>80.30999755859375</v>
      </c>
      <c r="F202">
        <f>(Table[[#This Row],[price_lag]] - Table[[#This Row],[price]]) / Table[[#This Row],[price]]</f>
        <v>-4.483829912416222E-2</v>
      </c>
    </row>
    <row r="203" spans="1:6" hidden="1" x14ac:dyDescent="0.2">
      <c r="A203" t="s">
        <v>5</v>
      </c>
      <c r="B203" t="s">
        <v>207</v>
      </c>
      <c r="C203">
        <v>71.96291194242589</v>
      </c>
      <c r="D203">
        <v>48.934780120849609</v>
      </c>
      <c r="E203">
        <v>55.939998626708977</v>
      </c>
      <c r="F203">
        <f>(Table[[#This Row],[price_lag]] - Table[[#This Row],[price]]) / Table[[#This Row],[price]]</f>
        <v>0.14315418376376149</v>
      </c>
    </row>
    <row r="204" spans="1:6" hidden="1" x14ac:dyDescent="0.2">
      <c r="A204" t="s">
        <v>5</v>
      </c>
      <c r="B204" t="s">
        <v>208</v>
      </c>
      <c r="C204">
        <v>11.943182078274811</v>
      </c>
      <c r="D204">
        <v>63.060001373291023</v>
      </c>
      <c r="E204">
        <v>73.699996948242188</v>
      </c>
      <c r="F204">
        <f>(Table[[#This Row],[price_lag]] - Table[[#This Row],[price]]) / Table[[#This Row],[price]]</f>
        <v>0.16872812152296782</v>
      </c>
    </row>
    <row r="205" spans="1:6" hidden="1" x14ac:dyDescent="0.2">
      <c r="A205" t="s">
        <v>5</v>
      </c>
      <c r="B205" t="s">
        <v>209</v>
      </c>
      <c r="C205">
        <v>10.850378961274121</v>
      </c>
      <c r="D205">
        <v>57.290000915527337</v>
      </c>
      <c r="E205">
        <v>65.389999389648438</v>
      </c>
      <c r="F205">
        <f>(Table[[#This Row],[price_lag]] - Table[[#This Row],[price]]) / Table[[#This Row],[price]]</f>
        <v>0.14138590233336432</v>
      </c>
    </row>
    <row r="206" spans="1:6" hidden="1" x14ac:dyDescent="0.2">
      <c r="A206" t="s">
        <v>5</v>
      </c>
      <c r="B206" t="s">
        <v>210</v>
      </c>
      <c r="C206">
        <v>27.162999198550271</v>
      </c>
      <c r="D206">
        <v>22.81691932678223</v>
      </c>
      <c r="E206">
        <v>23.860000610351559</v>
      </c>
      <c r="F206">
        <f>(Table[[#This Row],[price_lag]] - Table[[#This Row],[price]]) / Table[[#This Row],[price]]</f>
        <v>4.571525492247204E-2</v>
      </c>
    </row>
    <row r="207" spans="1:6" hidden="1" x14ac:dyDescent="0.2">
      <c r="A207" t="s">
        <v>5</v>
      </c>
      <c r="B207" t="s">
        <v>211</v>
      </c>
      <c r="C207">
        <v>20.749339203852749</v>
      </c>
      <c r="D207">
        <v>38.982696533203118</v>
      </c>
      <c r="E207">
        <v>51.282218933105469</v>
      </c>
      <c r="F207">
        <f>(Table[[#This Row],[price_lag]] - Table[[#This Row],[price]]) / Table[[#This Row],[price]]</f>
        <v>0.31551235531965721</v>
      </c>
    </row>
    <row r="208" spans="1:6" hidden="1" x14ac:dyDescent="0.2">
      <c r="A208" t="s">
        <v>5</v>
      </c>
      <c r="B208" t="s">
        <v>212</v>
      </c>
      <c r="C208">
        <v>29.32640331213554</v>
      </c>
      <c r="D208">
        <v>245.1687316894531</v>
      </c>
      <c r="E208">
        <v>205.0899963378906</v>
      </c>
      <c r="F208">
        <f>(Table[[#This Row],[price_lag]] - Table[[#This Row],[price]]) / Table[[#This Row],[price]]</f>
        <v>-0.16347409017202436</v>
      </c>
    </row>
    <row r="209" spans="1:6" hidden="1" x14ac:dyDescent="0.2">
      <c r="A209" t="s">
        <v>5</v>
      </c>
      <c r="B209" t="s">
        <v>213</v>
      </c>
      <c r="C209">
        <v>139.82446548786569</v>
      </c>
      <c r="D209">
        <v>262.8699951171875</v>
      </c>
      <c r="E209">
        <v>254.5899963378906</v>
      </c>
      <c r="F209">
        <f>(Table[[#This Row],[price_lag]] - Table[[#This Row],[price]]) / Table[[#This Row],[price]]</f>
        <v>-3.1498455255822094E-2</v>
      </c>
    </row>
    <row r="210" spans="1:6" hidden="1" x14ac:dyDescent="0.2">
      <c r="A210" t="s">
        <v>5</v>
      </c>
      <c r="B210" t="s">
        <v>214</v>
      </c>
      <c r="C210">
        <v>36.823085710114121</v>
      </c>
      <c r="D210">
        <v>300.47637939453119</v>
      </c>
      <c r="E210">
        <v>311.79000854492188</v>
      </c>
      <c r="F210">
        <f>(Table[[#This Row],[price_lag]] - Table[[#This Row],[price]]) / Table[[#This Row],[price]]</f>
        <v>3.7652307889185763E-2</v>
      </c>
    </row>
    <row r="211" spans="1:6" hidden="1" x14ac:dyDescent="0.2">
      <c r="A211" t="s">
        <v>5</v>
      </c>
      <c r="B211" t="s">
        <v>215</v>
      </c>
      <c r="C211">
        <v>19.141882293078361</v>
      </c>
      <c r="D211">
        <v>75.036178588867188</v>
      </c>
      <c r="E211">
        <v>83.296920776367188</v>
      </c>
      <c r="F211">
        <f>(Table[[#This Row],[price_lag]] - Table[[#This Row],[price]]) / Table[[#This Row],[price]]</f>
        <v>0.11009012376232087</v>
      </c>
    </row>
    <row r="212" spans="1:6" hidden="1" x14ac:dyDescent="0.2">
      <c r="A212" t="s">
        <v>5</v>
      </c>
      <c r="B212" t="s">
        <v>216</v>
      </c>
      <c r="C212">
        <v>92.498733336666987</v>
      </c>
      <c r="D212">
        <v>614.19158935546875</v>
      </c>
      <c r="E212">
        <v>659.1546630859375</v>
      </c>
      <c r="F212">
        <f>(Table[[#This Row],[price_lag]] - Table[[#This Row],[price]]) / Table[[#This Row],[price]]</f>
        <v>7.3206918671180274E-2</v>
      </c>
    </row>
    <row r="213" spans="1:6" hidden="1" x14ac:dyDescent="0.2">
      <c r="A213" t="s">
        <v>5</v>
      </c>
      <c r="B213" t="s">
        <v>217</v>
      </c>
      <c r="C213">
        <v>32.110326940363102</v>
      </c>
      <c r="D213">
        <v>28.257087707519531</v>
      </c>
      <c r="E213">
        <v>27.45999908447266</v>
      </c>
      <c r="F213">
        <f>(Table[[#This Row],[price_lag]] - Table[[#This Row],[price]]) / Table[[#This Row],[price]]</f>
        <v>-2.8208449196792391E-2</v>
      </c>
    </row>
    <row r="214" spans="1:6" hidden="1" x14ac:dyDescent="0.2">
      <c r="A214" t="s">
        <v>5</v>
      </c>
      <c r="B214" t="s">
        <v>218</v>
      </c>
      <c r="C214">
        <v>36.710524977299208</v>
      </c>
      <c r="D214">
        <v>167.3999938964844</v>
      </c>
      <c r="E214">
        <v>137.86000061035159</v>
      </c>
      <c r="F214">
        <f>(Table[[#This Row],[price_lag]] - Table[[#This Row],[price]]) / Table[[#This Row],[price]]</f>
        <v>-0.1764635266617724</v>
      </c>
    </row>
    <row r="215" spans="1:6" hidden="1" x14ac:dyDescent="0.2">
      <c r="A215" t="s">
        <v>5</v>
      </c>
      <c r="B215" t="s">
        <v>219</v>
      </c>
      <c r="C215">
        <v>21.509319043341481</v>
      </c>
      <c r="D215">
        <v>338.12649536132812</v>
      </c>
      <c r="E215">
        <v>338.08889770507812</v>
      </c>
      <c r="F215">
        <f>(Table[[#This Row],[price_lag]] - Table[[#This Row],[price]]) / Table[[#This Row],[price]]</f>
        <v>-1.1119405537806927E-4</v>
      </c>
    </row>
    <row r="216" spans="1:6" hidden="1" x14ac:dyDescent="0.2">
      <c r="A216" t="s">
        <v>5</v>
      </c>
      <c r="B216" t="s">
        <v>220</v>
      </c>
      <c r="C216">
        <v>5.5296622955047328</v>
      </c>
      <c r="D216">
        <v>49.103401184082031</v>
      </c>
      <c r="E216">
        <v>46.021804809570312</v>
      </c>
      <c r="F216">
        <f>(Table[[#This Row],[price_lag]] - Table[[#This Row],[price]]) / Table[[#This Row],[price]]</f>
        <v>-6.2757289723358048E-2</v>
      </c>
    </row>
    <row r="217" spans="1:6" hidden="1" x14ac:dyDescent="0.2">
      <c r="A217" t="s">
        <v>5</v>
      </c>
      <c r="B217" t="s">
        <v>221</v>
      </c>
      <c r="C217">
        <v>11.103746316728801</v>
      </c>
      <c r="D217">
        <v>60.848529815673828</v>
      </c>
      <c r="E217">
        <v>82.330001831054688</v>
      </c>
      <c r="F217">
        <f>(Table[[#This Row],[price_lag]] - Table[[#This Row],[price]]) / Table[[#This Row],[price]]</f>
        <v>0.35303189872382912</v>
      </c>
    </row>
    <row r="218" spans="1:6" hidden="1" x14ac:dyDescent="0.2">
      <c r="A218" t="s">
        <v>5</v>
      </c>
      <c r="B218" t="s">
        <v>222</v>
      </c>
      <c r="C218">
        <v>21.08966850795629</v>
      </c>
      <c r="D218">
        <v>137.504638671875</v>
      </c>
      <c r="E218">
        <v>124.0299987792969</v>
      </c>
      <c r="F218">
        <f>(Table[[#This Row],[price_lag]] - Table[[#This Row],[price]]) / Table[[#This Row],[price]]</f>
        <v>-9.7994075128857314E-2</v>
      </c>
    </row>
    <row r="219" spans="1:6" hidden="1" x14ac:dyDescent="0.2">
      <c r="A219" t="s">
        <v>5</v>
      </c>
      <c r="B219" t="s">
        <v>223</v>
      </c>
      <c r="C219">
        <v>11.20647104775033</v>
      </c>
      <c r="D219">
        <v>110.2716751098633</v>
      </c>
      <c r="E219">
        <v>123.1800003051758</v>
      </c>
      <c r="F219">
        <f>(Table[[#This Row],[price_lag]] - Table[[#This Row],[price]]) / Table[[#This Row],[price]]</f>
        <v>0.1170593008807745</v>
      </c>
    </row>
    <row r="220" spans="1:6" hidden="1" x14ac:dyDescent="0.2">
      <c r="A220" t="s">
        <v>5</v>
      </c>
      <c r="B220" t="s">
        <v>224</v>
      </c>
      <c r="C220">
        <v>7.8138171501879423</v>
      </c>
      <c r="D220">
        <v>82.826461791992188</v>
      </c>
      <c r="E220">
        <v>79.30999755859375</v>
      </c>
      <c r="F220">
        <f>(Table[[#This Row],[price_lag]] - Table[[#This Row],[price]]) / Table[[#This Row],[price]]</f>
        <v>-4.2455806481623913E-2</v>
      </c>
    </row>
    <row r="221" spans="1:6" hidden="1" x14ac:dyDescent="0.2">
      <c r="A221" t="s">
        <v>5</v>
      </c>
      <c r="B221" t="s">
        <v>225</v>
      </c>
      <c r="C221">
        <v>7.402018747309886</v>
      </c>
      <c r="D221">
        <v>142.41484069824219</v>
      </c>
      <c r="E221">
        <v>141.18408203125</v>
      </c>
      <c r="F221">
        <f>(Table[[#This Row],[price_lag]] - Table[[#This Row],[price]]) / Table[[#This Row],[price]]</f>
        <v>-8.6420675047483211E-3</v>
      </c>
    </row>
    <row r="222" spans="1:6" hidden="1" x14ac:dyDescent="0.2">
      <c r="A222" t="s">
        <v>5</v>
      </c>
      <c r="B222" t="s">
        <v>226</v>
      </c>
      <c r="C222">
        <v>22.357843436446849</v>
      </c>
      <c r="D222">
        <v>136.83000183105469</v>
      </c>
      <c r="E222">
        <v>126.0800018310547</v>
      </c>
      <c r="F222">
        <f>(Table[[#This Row],[price_lag]] - Table[[#This Row],[price]]) / Table[[#This Row],[price]]</f>
        <v>-7.8564641205465399E-2</v>
      </c>
    </row>
    <row r="223" spans="1:6" hidden="1" x14ac:dyDescent="0.2">
      <c r="A223" t="s">
        <v>5</v>
      </c>
      <c r="B223" t="s">
        <v>227</v>
      </c>
      <c r="C223">
        <v>15.95051346193765</v>
      </c>
      <c r="D223">
        <v>792.4215087890625</v>
      </c>
      <c r="E223">
        <v>884.41998291015625</v>
      </c>
      <c r="F223">
        <f>(Table[[#This Row],[price_lag]] - Table[[#This Row],[price]]) / Table[[#This Row],[price]]</f>
        <v>0.1160979013071983</v>
      </c>
    </row>
    <row r="224" spans="1:6" hidden="1" x14ac:dyDescent="0.2">
      <c r="A224" t="s">
        <v>5</v>
      </c>
      <c r="B224" t="s">
        <v>228</v>
      </c>
      <c r="C224">
        <v>305.55741786956793</v>
      </c>
      <c r="D224">
        <v>24.44459342956543</v>
      </c>
      <c r="E224">
        <v>28.489999771118161</v>
      </c>
      <c r="F224">
        <f>(Table[[#This Row],[price_lag]] - Table[[#This Row],[price]]) / Table[[#This Row],[price]]</f>
        <v>0.16549288713715576</v>
      </c>
    </row>
    <row r="225" spans="1:6" hidden="1" x14ac:dyDescent="0.2">
      <c r="A225" t="s">
        <v>5</v>
      </c>
      <c r="B225" t="s">
        <v>229</v>
      </c>
      <c r="C225">
        <v>8.6914881361716709</v>
      </c>
      <c r="D225">
        <v>132.8059387207031</v>
      </c>
      <c r="E225">
        <v>138.8399963378906</v>
      </c>
      <c r="F225">
        <f>(Table[[#This Row],[price_lag]] - Table[[#This Row],[price]]) / Table[[#This Row],[price]]</f>
        <v>4.5435149025055244E-2</v>
      </c>
    </row>
    <row r="226" spans="1:6" hidden="1" x14ac:dyDescent="0.2">
      <c r="A226" t="s">
        <v>5</v>
      </c>
      <c r="B226" t="s">
        <v>230</v>
      </c>
      <c r="C226">
        <v>11.318034436329301</v>
      </c>
      <c r="D226">
        <v>75.151748657226562</v>
      </c>
      <c r="E226">
        <v>82.669998168945312</v>
      </c>
      <c r="F226">
        <f>(Table[[#This Row],[price_lag]] - Table[[#This Row],[price]]) / Table[[#This Row],[price]]</f>
        <v>0.10004091250105326</v>
      </c>
    </row>
    <row r="227" spans="1:6" hidden="1" x14ac:dyDescent="0.2">
      <c r="A227" t="s">
        <v>5</v>
      </c>
      <c r="B227" t="s">
        <v>231</v>
      </c>
      <c r="C227">
        <v>14.88352100759043</v>
      </c>
      <c r="D227">
        <v>425.5670166015625</v>
      </c>
      <c r="E227">
        <v>473.260009765625</v>
      </c>
      <c r="F227">
        <f>(Table[[#This Row],[price_lag]] - Table[[#This Row],[price]]) / Table[[#This Row],[price]]</f>
        <v>0.11206928945039721</v>
      </c>
    </row>
    <row r="228" spans="1:6" hidden="1" x14ac:dyDescent="0.2">
      <c r="A228" t="s">
        <v>5</v>
      </c>
      <c r="B228" t="s">
        <v>232</v>
      </c>
      <c r="C228">
        <v>0</v>
      </c>
      <c r="D228">
        <v>18.70615386962891</v>
      </c>
      <c r="E228">
        <v>16.08596229553223</v>
      </c>
      <c r="F228">
        <f>(Table[[#This Row],[price_lag]] - Table[[#This Row],[price]]) / Table[[#This Row],[price]]</f>
        <v>-0.14007110132622141</v>
      </c>
    </row>
    <row r="229" spans="1:6" hidden="1" x14ac:dyDescent="0.2">
      <c r="A229" t="s">
        <v>5</v>
      </c>
      <c r="B229" t="s">
        <v>233</v>
      </c>
      <c r="C229">
        <v>19.752977007911319</v>
      </c>
      <c r="D229">
        <v>66.370002746582031</v>
      </c>
      <c r="E229">
        <v>76.44000244140625</v>
      </c>
      <c r="F229">
        <f>(Table[[#This Row],[price_lag]] - Table[[#This Row],[price]]) / Table[[#This Row],[price]]</f>
        <v>0.15172516616089504</v>
      </c>
    </row>
    <row r="230" spans="1:6" hidden="1" x14ac:dyDescent="0.2">
      <c r="A230" t="s">
        <v>5</v>
      </c>
      <c r="B230" t="s">
        <v>234</v>
      </c>
      <c r="C230">
        <v>33.146427699497771</v>
      </c>
      <c r="D230">
        <v>185.6199951171875</v>
      </c>
      <c r="E230">
        <v>182.19000244140619</v>
      </c>
      <c r="F230">
        <f>(Table[[#This Row],[price_lag]] - Table[[#This Row],[price]]) / Table[[#This Row],[price]]</f>
        <v>-1.8478573246464364E-2</v>
      </c>
    </row>
    <row r="231" spans="1:6" hidden="1" x14ac:dyDescent="0.2">
      <c r="A231" t="s">
        <v>5</v>
      </c>
      <c r="B231" t="s">
        <v>235</v>
      </c>
      <c r="C231">
        <v>55.484485626220703</v>
      </c>
      <c r="D231">
        <v>24.413173675537109</v>
      </c>
      <c r="E231">
        <v>24.069999694824219</v>
      </c>
      <c r="F231">
        <f>(Table[[#This Row],[price_lag]] - Table[[#This Row],[price]]) / Table[[#This Row],[price]]</f>
        <v>-1.405691800967129E-2</v>
      </c>
    </row>
    <row r="232" spans="1:6" hidden="1" x14ac:dyDescent="0.2">
      <c r="A232" t="s">
        <v>5</v>
      </c>
      <c r="B232" t="s">
        <v>236</v>
      </c>
      <c r="C232">
        <v>36.214076207336767</v>
      </c>
      <c r="D232">
        <v>259.29278564453119</v>
      </c>
      <c r="E232">
        <v>290.42999267578119</v>
      </c>
      <c r="F232">
        <f>(Table[[#This Row],[price_lag]] - Table[[#This Row],[price]]) / Table[[#This Row],[price]]</f>
        <v>0.12008512675681042</v>
      </c>
    </row>
    <row r="233" spans="1:6" hidden="1" x14ac:dyDescent="0.2">
      <c r="A233" t="s">
        <v>5</v>
      </c>
      <c r="B233" t="s">
        <v>237</v>
      </c>
      <c r="C233">
        <v>20.08630888802665</v>
      </c>
      <c r="D233">
        <v>67.489997863769531</v>
      </c>
      <c r="E233">
        <v>74.540000915527344</v>
      </c>
      <c r="F233">
        <f>(Table[[#This Row],[price_lag]] - Table[[#This Row],[price]]) / Table[[#This Row],[price]]</f>
        <v>0.10445996851249637</v>
      </c>
    </row>
    <row r="234" spans="1:6" hidden="1" x14ac:dyDescent="0.2">
      <c r="A234" t="s">
        <v>5</v>
      </c>
      <c r="B234" t="s">
        <v>238</v>
      </c>
      <c r="C234">
        <v>27.72631894786824</v>
      </c>
      <c r="D234">
        <v>402.58615112304688</v>
      </c>
      <c r="E234">
        <v>346.35000610351562</v>
      </c>
      <c r="F234">
        <f>(Table[[#This Row],[price_lag]] - Table[[#This Row],[price]]) / Table[[#This Row],[price]]</f>
        <v>-0.13968723182021026</v>
      </c>
    </row>
    <row r="235" spans="1:6" hidden="1" x14ac:dyDescent="0.2">
      <c r="A235" t="s">
        <v>5</v>
      </c>
      <c r="B235" t="s">
        <v>239</v>
      </c>
      <c r="C235">
        <v>17.179138236760259</v>
      </c>
      <c r="D235">
        <v>197.21650695800781</v>
      </c>
      <c r="E235">
        <v>196.36000061035159</v>
      </c>
      <c r="F235">
        <f>(Table[[#This Row],[price_lag]] - Table[[#This Row],[price]]) / Table[[#This Row],[price]]</f>
        <v>-4.3429749409292229E-3</v>
      </c>
    </row>
    <row r="236" spans="1:6" hidden="1" x14ac:dyDescent="0.2">
      <c r="A236" t="s">
        <v>5</v>
      </c>
      <c r="B236" t="s">
        <v>240</v>
      </c>
      <c r="C236">
        <v>0</v>
      </c>
      <c r="D236">
        <v>24.127143859863281</v>
      </c>
      <c r="E236">
        <v>23.67753982543945</v>
      </c>
      <c r="F236">
        <f>(Table[[#This Row],[price_lag]] - Table[[#This Row],[price]]) / Table[[#This Row],[price]]</f>
        <v>-1.8634780686651049E-2</v>
      </c>
    </row>
    <row r="237" spans="1:6" hidden="1" x14ac:dyDescent="0.2">
      <c r="A237" t="s">
        <v>5</v>
      </c>
      <c r="B237" t="s">
        <v>241</v>
      </c>
      <c r="C237">
        <v>18.145982078883961</v>
      </c>
      <c r="D237">
        <v>16.694303512573239</v>
      </c>
      <c r="E237">
        <v>17.940000534057621</v>
      </c>
      <c r="F237">
        <f>(Table[[#This Row],[price_lag]] - Table[[#This Row],[price]]) / Table[[#This Row],[price]]</f>
        <v>7.4618088771789201E-2</v>
      </c>
    </row>
    <row r="238" spans="1:6" hidden="1" x14ac:dyDescent="0.2">
      <c r="A238" t="s">
        <v>5</v>
      </c>
      <c r="B238" t="s">
        <v>242</v>
      </c>
      <c r="C238">
        <v>51.071755091349289</v>
      </c>
      <c r="D238">
        <v>196.11553955078119</v>
      </c>
      <c r="E238">
        <v>207.80999755859381</v>
      </c>
      <c r="F238">
        <f>(Table[[#This Row],[price_lag]] - Table[[#This Row],[price]]) / Table[[#This Row],[price]]</f>
        <v>5.9630450675146565E-2</v>
      </c>
    </row>
    <row r="239" spans="1:6" hidden="1" x14ac:dyDescent="0.2">
      <c r="A239" t="s">
        <v>5</v>
      </c>
      <c r="B239" t="s">
        <v>243</v>
      </c>
      <c r="C239">
        <v>7.9145650302662567</v>
      </c>
      <c r="D239">
        <v>26.90952110290527</v>
      </c>
      <c r="E239">
        <v>22.89999961853027</v>
      </c>
      <c r="F239">
        <f>(Table[[#This Row],[price_lag]] - Table[[#This Row],[price]]) / Table[[#This Row],[price]]</f>
        <v>-0.14900010554041834</v>
      </c>
    </row>
    <row r="240" spans="1:6" hidden="1" x14ac:dyDescent="0.2">
      <c r="A240" t="s">
        <v>5</v>
      </c>
      <c r="B240" t="s">
        <v>244</v>
      </c>
      <c r="C240">
        <v>22.337702115376789</v>
      </c>
      <c r="D240">
        <v>428.88388061523438</v>
      </c>
      <c r="E240">
        <v>446.6099853515625</v>
      </c>
      <c r="F240">
        <f>(Table[[#This Row],[price_lag]] - Table[[#This Row],[price]]) / Table[[#This Row],[price]]</f>
        <v>4.1330778650155865E-2</v>
      </c>
    </row>
    <row r="241" spans="1:6" hidden="1" x14ac:dyDescent="0.2">
      <c r="A241" t="s">
        <v>5</v>
      </c>
      <c r="B241" t="s">
        <v>245</v>
      </c>
      <c r="C241">
        <v>40.012637479805647</v>
      </c>
      <c r="D241">
        <v>259.28189086914062</v>
      </c>
      <c r="E241">
        <v>259.04998779296881</v>
      </c>
      <c r="F241">
        <f>(Table[[#This Row],[price_lag]] - Table[[#This Row],[price]]) / Table[[#This Row],[price]]</f>
        <v>-8.9440521817568609E-4</v>
      </c>
    </row>
    <row r="242" spans="1:6" hidden="1" x14ac:dyDescent="0.2">
      <c r="A242" t="s">
        <v>5</v>
      </c>
      <c r="B242" t="s">
        <v>246</v>
      </c>
      <c r="C242">
        <v>10.438531782568949</v>
      </c>
      <c r="D242">
        <v>17.119192123413089</v>
      </c>
      <c r="E242">
        <v>17.469999313354489</v>
      </c>
      <c r="F242">
        <f>(Table[[#This Row],[price_lag]] - Table[[#This Row],[price]]) / Table[[#This Row],[price]]</f>
        <v>2.0492041178836771E-2</v>
      </c>
    </row>
    <row r="243" spans="1:6" hidden="1" x14ac:dyDescent="0.2">
      <c r="A243" t="s">
        <v>5</v>
      </c>
      <c r="B243" t="s">
        <v>247</v>
      </c>
      <c r="C243">
        <v>19.420454237196179</v>
      </c>
      <c r="D243">
        <v>286.64590454101562</v>
      </c>
      <c r="E243">
        <v>341.98001098632812</v>
      </c>
      <c r="F243">
        <f>(Table[[#This Row],[price_lag]] - Table[[#This Row],[price]]) / Table[[#This Row],[price]]</f>
        <v>0.19303993383025936</v>
      </c>
    </row>
    <row r="244" spans="1:6" hidden="1" x14ac:dyDescent="0.2">
      <c r="A244" t="s">
        <v>5</v>
      </c>
      <c r="B244" t="s">
        <v>248</v>
      </c>
      <c r="C244">
        <v>37.515083353787183</v>
      </c>
      <c r="D244">
        <v>280.61282348632812</v>
      </c>
      <c r="E244">
        <v>302.04998779296881</v>
      </c>
      <c r="F244">
        <f>(Table[[#This Row],[price_lag]] - Table[[#This Row],[price]]) / Table[[#This Row],[price]]</f>
        <v>7.639410074103449E-2</v>
      </c>
    </row>
    <row r="245" spans="1:6" hidden="1" x14ac:dyDescent="0.2">
      <c r="A245" t="s">
        <v>5</v>
      </c>
      <c r="B245" t="s">
        <v>249</v>
      </c>
      <c r="C245">
        <v>23.746183058794809</v>
      </c>
      <c r="D245">
        <v>161.47404479980469</v>
      </c>
      <c r="E245">
        <v>178.62825012207031</v>
      </c>
      <c r="F245">
        <f>(Table[[#This Row],[price_lag]] - Table[[#This Row],[price]]) / Table[[#This Row],[price]]</f>
        <v>0.10623506300057936</v>
      </c>
    </row>
    <row r="246" spans="1:6" hidden="1" x14ac:dyDescent="0.2">
      <c r="A246" t="s">
        <v>5</v>
      </c>
      <c r="B246" t="s">
        <v>250</v>
      </c>
      <c r="C246">
        <v>46.566327598282612</v>
      </c>
      <c r="D246">
        <v>638.8900146484375</v>
      </c>
      <c r="E246">
        <v>682.32000732421875</v>
      </c>
      <c r="F246">
        <f>(Table[[#This Row],[price_lag]] - Table[[#This Row],[price]]) / Table[[#This Row],[price]]</f>
        <v>6.7977260060449532E-2</v>
      </c>
    </row>
    <row r="247" spans="1:6" hidden="1" x14ac:dyDescent="0.2">
      <c r="A247" t="s">
        <v>5</v>
      </c>
      <c r="B247" t="s">
        <v>251</v>
      </c>
      <c r="C247">
        <v>22.968641240546049</v>
      </c>
      <c r="D247">
        <v>259.08627319335938</v>
      </c>
      <c r="E247">
        <v>249.2200012207031</v>
      </c>
      <c r="F247">
        <f>(Table[[#This Row],[price_lag]] - Table[[#This Row],[price]]) / Table[[#This Row],[price]]</f>
        <v>-3.8081029346131952E-2</v>
      </c>
    </row>
    <row r="248" spans="1:6" hidden="1" x14ac:dyDescent="0.2">
      <c r="A248" t="s">
        <v>5</v>
      </c>
      <c r="B248" t="s">
        <v>252</v>
      </c>
      <c r="C248">
        <v>9.7707370459209386</v>
      </c>
      <c r="D248">
        <v>84.80999755859375</v>
      </c>
      <c r="E248">
        <v>98.910003662109375</v>
      </c>
      <c r="F248">
        <f>(Table[[#This Row],[price_lag]] - Table[[#This Row],[price]]) / Table[[#This Row],[price]]</f>
        <v>0.16625405623640274</v>
      </c>
    </row>
    <row r="249" spans="1:6" hidden="1" x14ac:dyDescent="0.2">
      <c r="A249" t="s">
        <v>5</v>
      </c>
      <c r="B249" t="s">
        <v>253</v>
      </c>
      <c r="C249">
        <v>33.305943396783647</v>
      </c>
      <c r="D249">
        <v>82.598739624023438</v>
      </c>
      <c r="E249">
        <v>80.650001525878906</v>
      </c>
      <c r="F249">
        <f>(Table[[#This Row],[price_lag]] - Table[[#This Row],[price]]) / Table[[#This Row],[price]]</f>
        <v>-2.359283091987702E-2</v>
      </c>
    </row>
    <row r="250" spans="1:6" hidden="1" x14ac:dyDescent="0.2">
      <c r="A250" t="s">
        <v>5</v>
      </c>
      <c r="B250" t="s">
        <v>254</v>
      </c>
      <c r="C250">
        <v>62.243953827888738</v>
      </c>
      <c r="D250">
        <v>308.73001098632812</v>
      </c>
      <c r="E250">
        <v>287.02999877929688</v>
      </c>
      <c r="F250">
        <f>(Table[[#This Row],[price_lag]] - Table[[#This Row],[price]]) / Table[[#This Row],[price]]</f>
        <v>-7.0287990913822165E-2</v>
      </c>
    </row>
    <row r="251" spans="1:6" hidden="1" x14ac:dyDescent="0.2">
      <c r="A251" t="s">
        <v>5</v>
      </c>
      <c r="B251" t="s">
        <v>255</v>
      </c>
      <c r="C251">
        <v>9.319444232516819</v>
      </c>
      <c r="D251">
        <v>33.549999237060547</v>
      </c>
      <c r="E251">
        <v>37.299999237060547</v>
      </c>
      <c r="F251">
        <f>(Table[[#This Row],[price_lag]] - Table[[#This Row],[price]]) / Table[[#This Row],[price]]</f>
        <v>0.11177347497098045</v>
      </c>
    </row>
    <row r="252" spans="1:6" hidden="1" x14ac:dyDescent="0.2">
      <c r="A252" t="s">
        <v>5</v>
      </c>
      <c r="B252" t="s">
        <v>256</v>
      </c>
      <c r="C252">
        <v>29.36694805438702</v>
      </c>
      <c r="D252">
        <v>167.97894287109381</v>
      </c>
      <c r="E252">
        <v>163.1600036621094</v>
      </c>
      <c r="F252">
        <f>(Table[[#This Row],[price_lag]] - Table[[#This Row],[price]]) / Table[[#This Row],[price]]</f>
        <v>-2.8687757683309348E-2</v>
      </c>
    </row>
    <row r="253" spans="1:6" hidden="1" x14ac:dyDescent="0.2">
      <c r="A253" t="s">
        <v>5</v>
      </c>
      <c r="B253" t="s">
        <v>257</v>
      </c>
      <c r="C253">
        <v>95.568233728408813</v>
      </c>
      <c r="D253">
        <v>61.163669586181641</v>
      </c>
      <c r="E253">
        <v>67.930000305175781</v>
      </c>
      <c r="F253">
        <f>(Table[[#This Row],[price_lag]] - Table[[#This Row],[price]]) / Table[[#This Row],[price]]</f>
        <v>0.11062663121381486</v>
      </c>
    </row>
    <row r="254" spans="1:6" hidden="1" x14ac:dyDescent="0.2">
      <c r="A254" t="s">
        <v>5</v>
      </c>
      <c r="B254" t="s">
        <v>258</v>
      </c>
      <c r="C254">
        <v>0</v>
      </c>
      <c r="D254">
        <v>45.833011627197273</v>
      </c>
      <c r="E254">
        <v>39.729999542236328</v>
      </c>
      <c r="F254">
        <f>(Table[[#This Row],[price_lag]] - Table[[#This Row],[price]]) / Table[[#This Row],[price]]</f>
        <v>-0.13315756194688769</v>
      </c>
    </row>
    <row r="255" spans="1:6" hidden="1" x14ac:dyDescent="0.2">
      <c r="A255" t="s">
        <v>5</v>
      </c>
      <c r="B255" t="s">
        <v>259</v>
      </c>
      <c r="C255">
        <v>106.3142204284668</v>
      </c>
      <c r="D255">
        <v>680.4110107421875</v>
      </c>
      <c r="E255">
        <v>668.64849853515625</v>
      </c>
      <c r="F255">
        <f>(Table[[#This Row],[price_lag]] - Table[[#This Row],[price]]) / Table[[#This Row],[price]]</f>
        <v>-1.7287363110424663E-2</v>
      </c>
    </row>
    <row r="256" spans="1:6" hidden="1" x14ac:dyDescent="0.2">
      <c r="A256" t="s">
        <v>5</v>
      </c>
      <c r="B256" t="s">
        <v>260</v>
      </c>
      <c r="C256">
        <v>56.468435730596987</v>
      </c>
      <c r="D256">
        <v>447.23001098632812</v>
      </c>
      <c r="E256">
        <v>572.6300048828125</v>
      </c>
      <c r="F256">
        <f>(Table[[#This Row],[price_lag]] - Table[[#This Row],[price]]) / Table[[#This Row],[price]]</f>
        <v>0.28039261859892911</v>
      </c>
    </row>
    <row r="257" spans="1:6" hidden="1" x14ac:dyDescent="0.2">
      <c r="A257" t="s">
        <v>5</v>
      </c>
      <c r="B257" t="s">
        <v>261</v>
      </c>
      <c r="C257">
        <v>8.4847421788457602</v>
      </c>
      <c r="D257">
        <v>22.739109039306641</v>
      </c>
      <c r="E257">
        <v>26.45999908447266</v>
      </c>
      <c r="F257">
        <f>(Table[[#This Row],[price_lag]] - Table[[#This Row],[price]]) / Table[[#This Row],[price]]</f>
        <v>0.16363394180194654</v>
      </c>
    </row>
    <row r="258" spans="1:6" hidden="1" x14ac:dyDescent="0.2">
      <c r="A258" t="s">
        <v>5</v>
      </c>
      <c r="B258" t="s">
        <v>262</v>
      </c>
      <c r="C258">
        <v>32.963822104714133</v>
      </c>
      <c r="D258">
        <v>29.008163452148441</v>
      </c>
      <c r="E258">
        <v>27.95999908447266</v>
      </c>
      <c r="F258">
        <f>(Table[[#This Row],[price_lag]] - Table[[#This Row],[price]]) / Table[[#This Row],[price]]</f>
        <v>-3.6133427385184935E-2</v>
      </c>
    </row>
    <row r="259" spans="1:6" hidden="1" x14ac:dyDescent="0.2">
      <c r="A259" t="s">
        <v>5</v>
      </c>
      <c r="B259" t="s">
        <v>263</v>
      </c>
      <c r="C259">
        <v>24.476804438325551</v>
      </c>
      <c r="D259">
        <v>189.94000244140619</v>
      </c>
      <c r="E259">
        <v>227.69000244140619</v>
      </c>
      <c r="F259">
        <f>(Table[[#This Row],[price_lag]] - Table[[#This Row],[price]]) / Table[[#This Row],[price]]</f>
        <v>0.19874697017362281</v>
      </c>
    </row>
    <row r="260" spans="1:6" hidden="1" x14ac:dyDescent="0.2">
      <c r="A260" t="s">
        <v>5</v>
      </c>
      <c r="B260" t="s">
        <v>264</v>
      </c>
      <c r="C260">
        <v>90.074375697544639</v>
      </c>
      <c r="D260">
        <v>100.88330078125</v>
      </c>
      <c r="E260">
        <v>83.360000610351562</v>
      </c>
      <c r="F260">
        <f>(Table[[#This Row],[price_lag]] - Table[[#This Row],[price]]) / Table[[#This Row],[price]]</f>
        <v>-0.17369871956207136</v>
      </c>
    </row>
    <row r="261" spans="1:6" hidden="1" x14ac:dyDescent="0.2">
      <c r="A261" t="s">
        <v>5</v>
      </c>
      <c r="B261" t="s">
        <v>265</v>
      </c>
      <c r="C261">
        <v>18.645392256937399</v>
      </c>
      <c r="D261">
        <v>133.82073974609381</v>
      </c>
      <c r="E261">
        <v>196.21000671386719</v>
      </c>
      <c r="F261">
        <f>(Table[[#This Row],[price_lag]] - Table[[#This Row],[price]]) / Table[[#This Row],[price]]</f>
        <v>0.46621523006185972</v>
      </c>
    </row>
    <row r="262" spans="1:6" hidden="1" x14ac:dyDescent="0.2">
      <c r="A262" t="s">
        <v>5</v>
      </c>
      <c r="B262" t="s">
        <v>266</v>
      </c>
      <c r="C262">
        <v>26.73447519687597</v>
      </c>
      <c r="D262">
        <v>217.08393859863281</v>
      </c>
      <c r="E262">
        <v>231.57000732421881</v>
      </c>
      <c r="F262">
        <f>(Table[[#This Row],[price_lag]] - Table[[#This Row],[price]]) / Table[[#This Row],[price]]</f>
        <v>6.673026488785673E-2</v>
      </c>
    </row>
    <row r="263" spans="1:6" hidden="1" x14ac:dyDescent="0.2">
      <c r="A263" t="s">
        <v>5</v>
      </c>
      <c r="B263" t="s">
        <v>267</v>
      </c>
      <c r="C263">
        <v>18.696235842824638</v>
      </c>
      <c r="D263">
        <v>148.43412780761719</v>
      </c>
      <c r="E263">
        <v>184.55000305175781</v>
      </c>
      <c r="F263">
        <f>(Table[[#This Row],[price_lag]] - Table[[#This Row],[price]]) / Table[[#This Row],[price]]</f>
        <v>0.24331247656839244</v>
      </c>
    </row>
    <row r="264" spans="1:6" hidden="1" x14ac:dyDescent="0.2">
      <c r="A264" t="s">
        <v>5</v>
      </c>
      <c r="B264" t="s">
        <v>268</v>
      </c>
      <c r="C264">
        <v>40.18790132255964</v>
      </c>
      <c r="D264">
        <v>149.4989929199219</v>
      </c>
      <c r="E264">
        <v>133.94000244140619</v>
      </c>
      <c r="F264">
        <f>(Table[[#This Row],[price_lag]] - Table[[#This Row],[price]]) / Table[[#This Row],[price]]</f>
        <v>-0.10407421598384797</v>
      </c>
    </row>
    <row r="265" spans="1:6" hidden="1" x14ac:dyDescent="0.2">
      <c r="A265" t="s">
        <v>5</v>
      </c>
      <c r="B265" t="s">
        <v>269</v>
      </c>
      <c r="C265">
        <v>21.513090291607579</v>
      </c>
      <c r="D265">
        <v>184.2501525878906</v>
      </c>
      <c r="E265">
        <v>206.9100036621094</v>
      </c>
      <c r="F265">
        <f>(Table[[#This Row],[price_lag]] - Table[[#This Row],[price]]) / Table[[#This Row],[price]]</f>
        <v>0.12298416449565573</v>
      </c>
    </row>
    <row r="266" spans="1:6" hidden="1" x14ac:dyDescent="0.2">
      <c r="A266" t="s">
        <v>5</v>
      </c>
      <c r="B266" t="s">
        <v>270</v>
      </c>
      <c r="C266">
        <v>10.256529566067369</v>
      </c>
      <c r="D266">
        <v>109.9499969482422</v>
      </c>
      <c r="E266">
        <v>120.94000244140619</v>
      </c>
      <c r="F266">
        <f>(Table[[#This Row],[price_lag]] - Table[[#This Row],[price]]) / Table[[#This Row],[price]]</f>
        <v>9.9954577518882703E-2</v>
      </c>
    </row>
    <row r="267" spans="1:6" hidden="1" x14ac:dyDescent="0.2">
      <c r="A267" t="s">
        <v>5</v>
      </c>
      <c r="B267" t="s">
        <v>271</v>
      </c>
      <c r="C267">
        <v>15.378656162051699</v>
      </c>
      <c r="D267">
        <v>312.49429321289062</v>
      </c>
      <c r="E267">
        <v>321.96771240234381</v>
      </c>
      <c r="F267">
        <f>(Table[[#This Row],[price_lag]] - Table[[#This Row],[price]]) / Table[[#This Row],[price]]</f>
        <v>3.0315495019293991E-2</v>
      </c>
    </row>
    <row r="268" spans="1:6" hidden="1" x14ac:dyDescent="0.2">
      <c r="A268" t="s">
        <v>5</v>
      </c>
      <c r="B268" t="s">
        <v>272</v>
      </c>
      <c r="C268">
        <v>19.081065768287299</v>
      </c>
      <c r="D268">
        <v>16.028095245361332</v>
      </c>
      <c r="E268">
        <v>17.329999923706051</v>
      </c>
      <c r="F268">
        <f>(Table[[#This Row],[price_lag]] - Table[[#This Row],[price]]) / Table[[#This Row],[price]]</f>
        <v>8.1226412646973875E-2</v>
      </c>
    </row>
    <row r="269" spans="1:6" hidden="1" x14ac:dyDescent="0.2">
      <c r="A269" t="s">
        <v>5</v>
      </c>
      <c r="B269" t="s">
        <v>273</v>
      </c>
      <c r="C269">
        <v>12.908432435016239</v>
      </c>
      <c r="D269">
        <v>25.300527572631839</v>
      </c>
      <c r="E269">
        <v>27.918849945068359</v>
      </c>
      <c r="F269">
        <f>(Table[[#This Row],[price_lag]] - Table[[#This Row],[price]]) / Table[[#This Row],[price]]</f>
        <v>0.10348884484404267</v>
      </c>
    </row>
    <row r="270" spans="1:6" hidden="1" x14ac:dyDescent="0.2">
      <c r="A270" t="s">
        <v>5</v>
      </c>
      <c r="B270" t="s">
        <v>274</v>
      </c>
      <c r="C270">
        <v>11.27087197652677</v>
      </c>
      <c r="D270">
        <v>18.48423004150391</v>
      </c>
      <c r="E270">
        <v>20.729999542236332</v>
      </c>
      <c r="F270">
        <f>(Table[[#This Row],[price_lag]] - Table[[#This Row],[price]]) / Table[[#This Row],[price]]</f>
        <v>0.12149651328131286</v>
      </c>
    </row>
    <row r="271" spans="1:6" hidden="1" x14ac:dyDescent="0.2">
      <c r="A271" t="s">
        <v>5</v>
      </c>
      <c r="B271" t="s">
        <v>275</v>
      </c>
      <c r="C271">
        <v>32.634328016594267</v>
      </c>
      <c r="D271">
        <v>174.91999816894531</v>
      </c>
      <c r="E271">
        <v>206.00999450683591</v>
      </c>
      <c r="F271">
        <f>(Table[[#This Row],[price_lag]] - Table[[#This Row],[price]]) / Table[[#This Row],[price]]</f>
        <v>0.17773837561936476</v>
      </c>
    </row>
    <row r="272" spans="1:6" hidden="1" x14ac:dyDescent="0.2">
      <c r="A272" t="s">
        <v>5</v>
      </c>
      <c r="B272" t="s">
        <v>276</v>
      </c>
      <c r="C272">
        <v>22.919227827840771</v>
      </c>
      <c r="D272">
        <v>122.84706115722661</v>
      </c>
      <c r="E272">
        <v>101.5699996948242</v>
      </c>
      <c r="F272">
        <f>(Table[[#This Row],[price_lag]] - Table[[#This Row],[price]]) / Table[[#This Row],[price]]</f>
        <v>-0.1731995968155137</v>
      </c>
    </row>
    <row r="273" spans="1:6" hidden="1" x14ac:dyDescent="0.2">
      <c r="A273" t="s">
        <v>5</v>
      </c>
      <c r="B273" t="s">
        <v>277</v>
      </c>
      <c r="C273">
        <v>28.382858477140729</v>
      </c>
      <c r="D273">
        <v>21.57097244262695</v>
      </c>
      <c r="E273">
        <v>20.360000610351559</v>
      </c>
      <c r="F273">
        <f>(Table[[#This Row],[price_lag]] - Table[[#This Row],[price]]) / Table[[#This Row],[price]]</f>
        <v>-5.613895411976691E-2</v>
      </c>
    </row>
    <row r="274" spans="1:6" hidden="1" x14ac:dyDescent="0.2">
      <c r="A274" t="s">
        <v>5</v>
      </c>
      <c r="B274" t="s">
        <v>278</v>
      </c>
      <c r="C274">
        <v>24.99400206974574</v>
      </c>
      <c r="D274">
        <v>27.993282318115231</v>
      </c>
      <c r="E274">
        <v>27.579999923706051</v>
      </c>
      <c r="F274">
        <f>(Table[[#This Row],[price_lag]] - Table[[#This Row],[price]]) / Table[[#This Row],[price]]</f>
        <v>-1.4763627562950457E-2</v>
      </c>
    </row>
    <row r="275" spans="1:6" hidden="1" x14ac:dyDescent="0.2">
      <c r="A275" t="s">
        <v>5</v>
      </c>
      <c r="B275" t="s">
        <v>279</v>
      </c>
      <c r="C275">
        <v>33.440599736479143</v>
      </c>
      <c r="D275">
        <v>129.74952697753909</v>
      </c>
      <c r="E275">
        <v>128.63999938964841</v>
      </c>
      <c r="F275">
        <f>(Table[[#This Row],[price_lag]] - Table[[#This Row],[price]]) / Table[[#This Row],[price]]</f>
        <v>-8.5513035287038217E-3</v>
      </c>
    </row>
    <row r="276" spans="1:6" hidden="1" x14ac:dyDescent="0.2">
      <c r="A276" t="s">
        <v>5</v>
      </c>
      <c r="B276" t="s">
        <v>280</v>
      </c>
      <c r="C276">
        <v>31.63317670273025</v>
      </c>
      <c r="D276">
        <v>1076.793334960938</v>
      </c>
      <c r="E276">
        <v>1243.650024414062</v>
      </c>
      <c r="F276">
        <f>(Table[[#This Row],[price_lag]] - Table[[#This Row],[price]]) / Table[[#This Row],[price]]</f>
        <v>0.1549570228897981</v>
      </c>
    </row>
    <row r="277" spans="1:6" hidden="1" x14ac:dyDescent="0.2">
      <c r="A277" t="s">
        <v>5</v>
      </c>
      <c r="B277" t="s">
        <v>281</v>
      </c>
      <c r="C277">
        <v>12.323617935180661</v>
      </c>
      <c r="D277">
        <v>25.633125305175781</v>
      </c>
      <c r="E277">
        <v>24.430000305175781</v>
      </c>
      <c r="F277">
        <f>(Table[[#This Row],[price_lag]] - Table[[#This Row],[price]]) / Table[[#This Row],[price]]</f>
        <v>-4.6936336700116231E-2</v>
      </c>
    </row>
    <row r="278" spans="1:6" hidden="1" x14ac:dyDescent="0.2">
      <c r="A278" t="s">
        <v>5</v>
      </c>
      <c r="B278" t="s">
        <v>282</v>
      </c>
      <c r="C278">
        <v>0</v>
      </c>
      <c r="D278">
        <v>67.052360534667969</v>
      </c>
      <c r="E278">
        <v>62.680000305175781</v>
      </c>
      <c r="F278">
        <f>(Table[[#This Row],[price_lag]] - Table[[#This Row],[price]]) / Table[[#This Row],[price]]</f>
        <v>-6.520814770169879E-2</v>
      </c>
    </row>
    <row r="279" spans="1:6" hidden="1" x14ac:dyDescent="0.2">
      <c r="A279" t="s">
        <v>5</v>
      </c>
      <c r="B279" t="s">
        <v>283</v>
      </c>
      <c r="C279">
        <v>30.783763684724509</v>
      </c>
      <c r="D279">
        <v>304.14358520507812</v>
      </c>
      <c r="E279">
        <v>295.47000122070312</v>
      </c>
      <c r="F279">
        <f>(Table[[#This Row],[price_lag]] - Table[[#This Row],[price]]) / Table[[#This Row],[price]]</f>
        <v>-2.8518056622915688E-2</v>
      </c>
    </row>
    <row r="280" spans="1:6" hidden="1" x14ac:dyDescent="0.2">
      <c r="A280" t="s">
        <v>5</v>
      </c>
      <c r="B280" t="s">
        <v>284</v>
      </c>
      <c r="C280">
        <v>22.794111215384898</v>
      </c>
      <c r="D280">
        <v>286.29403686523438</v>
      </c>
      <c r="E280">
        <v>253.07000732421881</v>
      </c>
      <c r="F280">
        <f>(Table[[#This Row],[price_lag]] - Table[[#This Row],[price]]) / Table[[#This Row],[price]]</f>
        <v>-0.11604862575833158</v>
      </c>
    </row>
    <row r="281" spans="1:6" hidden="1" x14ac:dyDescent="0.2">
      <c r="A281" t="s">
        <v>5</v>
      </c>
      <c r="B281" t="s">
        <v>285</v>
      </c>
      <c r="C281">
        <v>26.95159604472499</v>
      </c>
      <c r="D281">
        <v>133.67991638183591</v>
      </c>
      <c r="E281">
        <v>173.7799987792969</v>
      </c>
      <c r="F281">
        <f>(Table[[#This Row],[price_lag]] - Table[[#This Row],[price]]) / Table[[#This Row],[price]]</f>
        <v>0.29997088181085735</v>
      </c>
    </row>
    <row r="282" spans="1:6" hidden="1" x14ac:dyDescent="0.2">
      <c r="A282" t="s">
        <v>5</v>
      </c>
      <c r="B282" t="s">
        <v>286</v>
      </c>
      <c r="C282">
        <v>31.377421254697051</v>
      </c>
      <c r="D282">
        <v>57.734455108642578</v>
      </c>
      <c r="E282">
        <v>41.950000762939453</v>
      </c>
      <c r="F282">
        <f>(Table[[#This Row],[price_lag]] - Table[[#This Row],[price]]) / Table[[#This Row],[price]]</f>
        <v>-0.27339747670607645</v>
      </c>
    </row>
    <row r="283" spans="1:6" hidden="1" x14ac:dyDescent="0.2">
      <c r="A283" t="s">
        <v>5</v>
      </c>
      <c r="B283" t="s">
        <v>287</v>
      </c>
      <c r="C283">
        <v>21.955802792408431</v>
      </c>
      <c r="D283">
        <v>53.572158813476562</v>
      </c>
      <c r="E283">
        <v>65.099998474121094</v>
      </c>
      <c r="F283">
        <f>(Table[[#This Row],[price_lag]] - Table[[#This Row],[price]]) / Table[[#This Row],[price]]</f>
        <v>0.21518340712722217</v>
      </c>
    </row>
    <row r="284" spans="1:6" hidden="1" x14ac:dyDescent="0.2">
      <c r="A284" t="s">
        <v>5</v>
      </c>
      <c r="B284" t="s">
        <v>288</v>
      </c>
      <c r="C284">
        <v>16.42262661498598</v>
      </c>
      <c r="D284">
        <v>188.53175354003909</v>
      </c>
      <c r="E284">
        <v>183.3500061035156</v>
      </c>
      <c r="F284">
        <f>(Table[[#This Row],[price_lag]] - Table[[#This Row],[price]]) / Table[[#This Row],[price]]</f>
        <v>-2.7484746411288379E-2</v>
      </c>
    </row>
    <row r="285" spans="1:6" hidden="1" x14ac:dyDescent="0.2">
      <c r="A285" t="s">
        <v>5</v>
      </c>
      <c r="B285" t="s">
        <v>289</v>
      </c>
      <c r="C285">
        <v>13.70147638445858</v>
      </c>
      <c r="D285">
        <v>125.5055236816406</v>
      </c>
      <c r="E285">
        <v>103.88999938964839</v>
      </c>
      <c r="F285">
        <f>(Table[[#This Row],[price_lag]] - Table[[#This Row],[price]]) / Table[[#This Row],[price]]</f>
        <v>-0.17222767299726585</v>
      </c>
    </row>
    <row r="286" spans="1:6" hidden="1" x14ac:dyDescent="0.2">
      <c r="A286" t="s">
        <v>5</v>
      </c>
      <c r="B286" t="s">
        <v>290</v>
      </c>
      <c r="C286">
        <v>18.829062729861359</v>
      </c>
      <c r="D286">
        <v>527.9669189453125</v>
      </c>
      <c r="E286">
        <v>492.69998168945312</v>
      </c>
      <c r="F286">
        <f>(Table[[#This Row],[price_lag]] - Table[[#This Row],[price]]) / Table[[#This Row],[price]]</f>
        <v>-6.6797626878422611E-2</v>
      </c>
    </row>
    <row r="287" spans="1:6" hidden="1" x14ac:dyDescent="0.2">
      <c r="A287" t="s">
        <v>5</v>
      </c>
      <c r="B287" t="s">
        <v>291</v>
      </c>
      <c r="C287">
        <v>30.565350794767969</v>
      </c>
      <c r="D287">
        <v>761.881103515625</v>
      </c>
      <c r="E287">
        <v>1079.75</v>
      </c>
      <c r="F287">
        <f>(Table[[#This Row],[price_lag]] - Table[[#This Row],[price]]) / Table[[#This Row],[price]]</f>
        <v>0.41721588187133191</v>
      </c>
    </row>
    <row r="288" spans="1:6" hidden="1" x14ac:dyDescent="0.2">
      <c r="A288" t="s">
        <v>5</v>
      </c>
      <c r="B288" t="s">
        <v>292</v>
      </c>
      <c r="C288">
        <v>28.786925155751021</v>
      </c>
      <c r="D288">
        <v>473.25704956054688</v>
      </c>
      <c r="E288">
        <v>428.3599853515625</v>
      </c>
      <c r="F288">
        <f>(Table[[#This Row],[price_lag]] - Table[[#This Row],[price]]) / Table[[#This Row],[price]]</f>
        <v>-9.4868241795181968E-2</v>
      </c>
    </row>
    <row r="289" spans="1:6" hidden="1" x14ac:dyDescent="0.2">
      <c r="A289" t="s">
        <v>5</v>
      </c>
      <c r="B289" t="s">
        <v>293</v>
      </c>
      <c r="C289">
        <v>55.20270064070418</v>
      </c>
      <c r="D289">
        <v>163.3999938964844</v>
      </c>
      <c r="E289">
        <v>144.0899963378906</v>
      </c>
      <c r="F289">
        <f>(Table[[#This Row],[price_lag]] - Table[[#This Row],[price]]) / Table[[#This Row],[price]]</f>
        <v>-0.11817624406293975</v>
      </c>
    </row>
    <row r="290" spans="1:6" hidden="1" x14ac:dyDescent="0.2">
      <c r="A290" t="s">
        <v>5</v>
      </c>
      <c r="B290" t="s">
        <v>294</v>
      </c>
      <c r="C290">
        <v>10.796598025730679</v>
      </c>
      <c r="D290">
        <v>30.230474472045898</v>
      </c>
      <c r="E290">
        <v>30.809999465942379</v>
      </c>
      <c r="F290">
        <f>(Table[[#This Row],[price_lag]] - Table[[#This Row],[price]]) / Table[[#This Row],[price]]</f>
        <v>1.9170224881265664E-2</v>
      </c>
    </row>
    <row r="291" spans="1:6" hidden="1" x14ac:dyDescent="0.2">
      <c r="A291" t="s">
        <v>5</v>
      </c>
      <c r="B291" t="s">
        <v>295</v>
      </c>
      <c r="C291">
        <v>17.745287438859911</v>
      </c>
      <c r="D291">
        <v>495.44842529296881</v>
      </c>
      <c r="E291">
        <v>488</v>
      </c>
      <c r="F291">
        <f>(Table[[#This Row],[price_lag]] - Table[[#This Row],[price]]) / Table[[#This Row],[price]]</f>
        <v>-1.5033704645573151E-2</v>
      </c>
    </row>
    <row r="292" spans="1:6" hidden="1" x14ac:dyDescent="0.2">
      <c r="A292" t="s">
        <v>5</v>
      </c>
      <c r="B292" t="s">
        <v>296</v>
      </c>
      <c r="C292">
        <v>10.32216185895504</v>
      </c>
      <c r="D292">
        <v>100.331413269043</v>
      </c>
      <c r="E292">
        <v>106.19000244140619</v>
      </c>
      <c r="F292">
        <f>(Table[[#This Row],[price_lag]] - Table[[#This Row],[price]]) / Table[[#This Row],[price]]</f>
        <v>5.8392371655855556E-2</v>
      </c>
    </row>
    <row r="293" spans="1:6" hidden="1" x14ac:dyDescent="0.2">
      <c r="A293" t="s">
        <v>5</v>
      </c>
      <c r="B293" t="s">
        <v>297</v>
      </c>
      <c r="C293">
        <v>21.611314349704319</v>
      </c>
      <c r="D293">
        <v>248.96234130859381</v>
      </c>
      <c r="E293">
        <v>242.0927429199219</v>
      </c>
      <c r="F293">
        <f>(Table[[#This Row],[price_lag]] - Table[[#This Row],[price]]) / Table[[#This Row],[price]]</f>
        <v>-2.7592921694759041E-2</v>
      </c>
    </row>
    <row r="294" spans="1:6" hidden="1" x14ac:dyDescent="0.2">
      <c r="A294" t="s">
        <v>5</v>
      </c>
      <c r="B294" t="s">
        <v>298</v>
      </c>
      <c r="C294">
        <v>17.1747097177395</v>
      </c>
      <c r="D294">
        <v>177.92999267578119</v>
      </c>
      <c r="E294">
        <v>210.66999816894531</v>
      </c>
      <c r="F294">
        <f>(Table[[#This Row],[price_lag]] - Table[[#This Row],[price]]) / Table[[#This Row],[price]]</f>
        <v>0.18400498421208838</v>
      </c>
    </row>
    <row r="295" spans="1:6" hidden="1" x14ac:dyDescent="0.2">
      <c r="A295" t="s">
        <v>5</v>
      </c>
      <c r="B295" t="s">
        <v>299</v>
      </c>
      <c r="C295">
        <v>0</v>
      </c>
      <c r="D295">
        <v>47.668601989746087</v>
      </c>
      <c r="E295">
        <v>43.659999847412109</v>
      </c>
      <c r="F295">
        <f>(Table[[#This Row],[price_lag]] - Table[[#This Row],[price]]) / Table[[#This Row],[price]]</f>
        <v>-8.4093134159803157E-2</v>
      </c>
    </row>
    <row r="296" spans="1:6" hidden="1" x14ac:dyDescent="0.2">
      <c r="A296" t="s">
        <v>5</v>
      </c>
      <c r="B296" t="s">
        <v>300</v>
      </c>
      <c r="C296">
        <v>10.106269600465129</v>
      </c>
      <c r="D296">
        <v>196.06163024902341</v>
      </c>
      <c r="E296">
        <v>203.55000305175781</v>
      </c>
      <c r="F296">
        <f>(Table[[#This Row],[price_lag]] - Table[[#This Row],[price]]) / Table[[#This Row],[price]]</f>
        <v>3.8193973972486153E-2</v>
      </c>
    </row>
    <row r="297" spans="1:6" hidden="1" x14ac:dyDescent="0.2">
      <c r="A297" t="s">
        <v>5</v>
      </c>
      <c r="B297" t="s">
        <v>301</v>
      </c>
      <c r="C297">
        <v>10.63051160317567</v>
      </c>
      <c r="D297">
        <v>191.77442932128909</v>
      </c>
      <c r="E297">
        <v>163.82000732421881</v>
      </c>
      <c r="F297">
        <f>(Table[[#This Row],[price_lag]] - Table[[#This Row],[price]]) / Table[[#This Row],[price]]</f>
        <v>-0.14576720210303362</v>
      </c>
    </row>
    <row r="298" spans="1:6" hidden="1" x14ac:dyDescent="0.2">
      <c r="A298" t="s">
        <v>5</v>
      </c>
      <c r="B298" t="s">
        <v>302</v>
      </c>
      <c r="C298">
        <v>23.571246603260871</v>
      </c>
      <c r="D298">
        <v>173.484375</v>
      </c>
      <c r="E298">
        <v>182.50999450683591</v>
      </c>
      <c r="F298">
        <f>(Table[[#This Row],[price_lag]] - Table[[#This Row],[price]]) / Table[[#This Row],[price]]</f>
        <v>5.2025547008691178E-2</v>
      </c>
    </row>
    <row r="299" spans="1:6" hidden="1" x14ac:dyDescent="0.2">
      <c r="A299" t="s">
        <v>5</v>
      </c>
      <c r="B299" t="s">
        <v>303</v>
      </c>
      <c r="C299">
        <v>24.237501799170651</v>
      </c>
      <c r="D299">
        <v>259.82601928710938</v>
      </c>
      <c r="E299">
        <v>313.94000244140619</v>
      </c>
      <c r="F299">
        <f>(Table[[#This Row],[price_lag]] - Table[[#This Row],[price]]) / Table[[#This Row],[price]]</f>
        <v>0.20827006972885395</v>
      </c>
    </row>
    <row r="300" spans="1:6" hidden="1" x14ac:dyDescent="0.2">
      <c r="A300" t="s">
        <v>5</v>
      </c>
      <c r="B300" t="s">
        <v>304</v>
      </c>
      <c r="C300">
        <v>32.998177879735053</v>
      </c>
      <c r="D300">
        <v>200.62892150878909</v>
      </c>
      <c r="E300">
        <v>187.36000061035159</v>
      </c>
      <c r="F300">
        <f>(Table[[#This Row],[price_lag]] - Table[[#This Row],[price]]) / Table[[#This Row],[price]]</f>
        <v>-6.6136630744218092E-2</v>
      </c>
    </row>
    <row r="301" spans="1:6" hidden="1" x14ac:dyDescent="0.2">
      <c r="A301" t="s">
        <v>5</v>
      </c>
      <c r="B301" t="s">
        <v>305</v>
      </c>
      <c r="C301">
        <v>22.93880006662263</v>
      </c>
      <c r="D301">
        <v>629.440673828125</v>
      </c>
      <c r="E301">
        <v>631.41998291015625</v>
      </c>
      <c r="F301">
        <f>(Table[[#This Row],[price_lag]] - Table[[#This Row],[price]]) / Table[[#This Row],[price]]</f>
        <v>3.1445522419031344E-3</v>
      </c>
    </row>
    <row r="302" spans="1:6" hidden="1" x14ac:dyDescent="0.2">
      <c r="A302" t="s">
        <v>5</v>
      </c>
      <c r="B302" t="s">
        <v>306</v>
      </c>
      <c r="C302">
        <v>19.241694194333601</v>
      </c>
      <c r="D302">
        <v>70.038612365722656</v>
      </c>
      <c r="E302">
        <v>64.199996948242188</v>
      </c>
      <c r="F302">
        <f>(Table[[#This Row],[price_lag]] - Table[[#This Row],[price]]) / Table[[#This Row],[price]]</f>
        <v>-8.3362808317686263E-2</v>
      </c>
    </row>
    <row r="303" spans="1:6" hidden="1" x14ac:dyDescent="0.2">
      <c r="A303" t="s">
        <v>5</v>
      </c>
      <c r="B303" t="s">
        <v>307</v>
      </c>
      <c r="C303">
        <v>32.598161368534477</v>
      </c>
      <c r="D303">
        <v>567.2080078125</v>
      </c>
      <c r="E303">
        <v>576.553955078125</v>
      </c>
      <c r="F303">
        <f>(Table[[#This Row],[price_lag]] - Table[[#This Row],[price]]) / Table[[#This Row],[price]]</f>
        <v>1.6477107404863117E-2</v>
      </c>
    </row>
    <row r="304" spans="1:6" hidden="1" x14ac:dyDescent="0.2">
      <c r="A304" t="s">
        <v>5</v>
      </c>
      <c r="B304" t="s">
        <v>308</v>
      </c>
      <c r="C304">
        <v>13.030345404326029</v>
      </c>
      <c r="D304">
        <v>34.92132568359375</v>
      </c>
      <c r="E304">
        <v>31.971755981445309</v>
      </c>
      <c r="F304">
        <f>(Table[[#This Row],[price_lag]] - Table[[#This Row],[price]]) / Table[[#This Row],[price]]</f>
        <v>-8.4463279798514826E-2</v>
      </c>
    </row>
    <row r="305" spans="1:6" hidden="1" x14ac:dyDescent="0.2">
      <c r="A305" t="s">
        <v>5</v>
      </c>
      <c r="B305" t="s">
        <v>309</v>
      </c>
      <c r="C305">
        <v>19.638869875953311</v>
      </c>
      <c r="D305">
        <v>65.986602783203125</v>
      </c>
      <c r="E305">
        <v>68.480003356933594</v>
      </c>
      <c r="F305">
        <f>(Table[[#This Row],[price_lag]] - Table[[#This Row],[price]]) / Table[[#This Row],[price]]</f>
        <v>3.7786466776028108E-2</v>
      </c>
    </row>
    <row r="306" spans="1:6" hidden="1" x14ac:dyDescent="0.2">
      <c r="A306" t="s">
        <v>5</v>
      </c>
      <c r="B306" t="s">
        <v>310</v>
      </c>
      <c r="C306">
        <v>23.609048316245168</v>
      </c>
      <c r="D306">
        <v>302.07730102539062</v>
      </c>
      <c r="E306">
        <v>308.02999877929688</v>
      </c>
      <c r="F306">
        <f>(Table[[#This Row],[price_lag]] - Table[[#This Row],[price]]) / Table[[#This Row],[price]]</f>
        <v>1.9705875726842202E-2</v>
      </c>
    </row>
    <row r="307" spans="1:6" hidden="1" x14ac:dyDescent="0.2">
      <c r="A307" t="s">
        <v>5</v>
      </c>
      <c r="B307" t="s">
        <v>311</v>
      </c>
      <c r="C307">
        <v>21.559247064856841</v>
      </c>
      <c r="D307">
        <v>771.821044921875</v>
      </c>
      <c r="E307">
        <v>827.33001708984375</v>
      </c>
      <c r="F307">
        <f>(Table[[#This Row],[price_lag]] - Table[[#This Row],[price]]) / Table[[#This Row],[price]]</f>
        <v>7.1919485136075115E-2</v>
      </c>
    </row>
    <row r="308" spans="1:6" hidden="1" x14ac:dyDescent="0.2">
      <c r="A308" t="s">
        <v>5</v>
      </c>
      <c r="B308" t="s">
        <v>312</v>
      </c>
      <c r="C308">
        <v>22.252335949478859</v>
      </c>
      <c r="D308">
        <v>95.239997863769531</v>
      </c>
      <c r="E308">
        <v>96.660003662109375</v>
      </c>
      <c r="F308">
        <f>(Table[[#This Row],[price_lag]] - Table[[#This Row],[price]]) / Table[[#This Row],[price]]</f>
        <v>1.490976302174017E-2</v>
      </c>
    </row>
    <row r="309" spans="1:6" hidden="1" x14ac:dyDescent="0.2">
      <c r="A309" t="s">
        <v>5</v>
      </c>
      <c r="B309" t="s">
        <v>313</v>
      </c>
      <c r="C309">
        <v>8.9452877016876577</v>
      </c>
      <c r="D309">
        <v>83.218727111816406</v>
      </c>
      <c r="E309">
        <v>106.05999755859381</v>
      </c>
      <c r="F309">
        <f>(Table[[#This Row],[price_lag]] - Table[[#This Row],[price]]) / Table[[#This Row],[price]]</f>
        <v>0.27447272073852857</v>
      </c>
    </row>
    <row r="310" spans="1:6" hidden="1" x14ac:dyDescent="0.2">
      <c r="A310" t="s">
        <v>5</v>
      </c>
      <c r="B310" t="s">
        <v>314</v>
      </c>
      <c r="C310">
        <v>169.85684147587531</v>
      </c>
      <c r="D310">
        <v>733.78155517578125</v>
      </c>
      <c r="E310">
        <v>665.95001220703125</v>
      </c>
      <c r="F310">
        <f>(Table[[#This Row],[price_lag]] - Table[[#This Row],[price]]) / Table[[#This Row],[price]]</f>
        <v>-9.2441057546752581E-2</v>
      </c>
    </row>
    <row r="311" spans="1:6" hidden="1" x14ac:dyDescent="0.2">
      <c r="A311" t="s">
        <v>5</v>
      </c>
      <c r="B311" t="s">
        <v>315</v>
      </c>
      <c r="C311">
        <v>16.613308356566801</v>
      </c>
      <c r="D311">
        <v>81.779342651367188</v>
      </c>
      <c r="E311">
        <v>79.779998779296875</v>
      </c>
      <c r="F311">
        <f>(Table[[#This Row],[price_lag]] - Table[[#This Row],[price]]) / Table[[#This Row],[price]]</f>
        <v>-2.4448030605891492E-2</v>
      </c>
    </row>
    <row r="312" spans="1:6" hidden="1" x14ac:dyDescent="0.2">
      <c r="A312" t="s">
        <v>5</v>
      </c>
      <c r="B312" t="s">
        <v>316</v>
      </c>
      <c r="C312">
        <v>28.95306569225383</v>
      </c>
      <c r="D312">
        <v>1227.609985351562</v>
      </c>
      <c r="E312">
        <v>1414.319946289062</v>
      </c>
      <c r="F312">
        <f>(Table[[#This Row],[price_lag]] - Table[[#This Row],[price]]) / Table[[#This Row],[price]]</f>
        <v>0.1520922468580525</v>
      </c>
    </row>
    <row r="313" spans="1:6" hidden="1" x14ac:dyDescent="0.2">
      <c r="A313" t="s">
        <v>5</v>
      </c>
      <c r="B313" t="s">
        <v>317</v>
      </c>
      <c r="C313">
        <v>0</v>
      </c>
      <c r="D313">
        <v>34.659999847412109</v>
      </c>
      <c r="E313">
        <v>36.729999542236328</v>
      </c>
      <c r="F313">
        <f>(Table[[#This Row],[price_lag]] - Table[[#This Row],[price]]) / Table[[#This Row],[price]]</f>
        <v>5.9723015116480892E-2</v>
      </c>
    </row>
    <row r="314" spans="1:6" hidden="1" x14ac:dyDescent="0.2">
      <c r="A314" t="s">
        <v>5</v>
      </c>
      <c r="B314" t="s">
        <v>318</v>
      </c>
      <c r="C314">
        <v>530.38276036580407</v>
      </c>
      <c r="D314">
        <v>63.645931243896477</v>
      </c>
      <c r="E314">
        <v>64.680000305175781</v>
      </c>
      <c r="F314">
        <f>(Table[[#This Row],[price_lag]] - Table[[#This Row],[price]]) / Table[[#This Row],[price]]</f>
        <v>1.624721393920164E-2</v>
      </c>
    </row>
    <row r="315" spans="1:6" hidden="1" x14ac:dyDescent="0.2">
      <c r="A315" t="s">
        <v>5</v>
      </c>
      <c r="B315" t="s">
        <v>319</v>
      </c>
      <c r="C315">
        <v>14.61081871619591</v>
      </c>
      <c r="D315">
        <v>167.14776611328119</v>
      </c>
      <c r="E315">
        <v>292.6300048828125</v>
      </c>
      <c r="F315">
        <f>(Table[[#This Row],[price_lag]] - Table[[#This Row],[price]]) / Table[[#This Row],[price]]</f>
        <v>0.75072638831731753</v>
      </c>
    </row>
    <row r="316" spans="1:6" hidden="1" x14ac:dyDescent="0.2">
      <c r="A316" t="s">
        <v>5</v>
      </c>
      <c r="B316" t="s">
        <v>320</v>
      </c>
      <c r="C316">
        <v>34.650296372319033</v>
      </c>
      <c r="D316">
        <v>516.982421875</v>
      </c>
      <c r="E316">
        <v>487.48001098632812</v>
      </c>
      <c r="F316">
        <f>(Table[[#This Row],[price_lag]] - Table[[#This Row],[price]]) / Table[[#This Row],[price]]</f>
        <v>-5.706656481988704E-2</v>
      </c>
    </row>
    <row r="317" spans="1:6" hidden="1" x14ac:dyDescent="0.2">
      <c r="A317" t="s">
        <v>5</v>
      </c>
      <c r="B317" t="s">
        <v>321</v>
      </c>
      <c r="C317">
        <v>40.653660183861142</v>
      </c>
      <c r="D317">
        <v>136.59629821777341</v>
      </c>
      <c r="E317">
        <v>138.33912658691409</v>
      </c>
      <c r="F317">
        <f>(Table[[#This Row],[price_lag]] - Table[[#This Row],[price]]) / Table[[#This Row],[price]]</f>
        <v>1.2758972182116655E-2</v>
      </c>
    </row>
    <row r="318" spans="1:6" hidden="1" x14ac:dyDescent="0.2">
      <c r="A318" t="s">
        <v>5</v>
      </c>
      <c r="B318" t="s">
        <v>322</v>
      </c>
      <c r="C318">
        <v>0</v>
      </c>
      <c r="D318">
        <v>25.829999923706051</v>
      </c>
      <c r="E318">
        <v>30.409999847412109</v>
      </c>
      <c r="F318">
        <f>(Table[[#This Row],[price_lag]] - Table[[#This Row],[price]]) / Table[[#This Row],[price]]</f>
        <v>0.17731319927347977</v>
      </c>
    </row>
    <row r="319" spans="1:6" hidden="1" x14ac:dyDescent="0.2">
      <c r="A319" t="s">
        <v>5</v>
      </c>
      <c r="B319" t="s">
        <v>323</v>
      </c>
      <c r="C319">
        <v>18.417142595563611</v>
      </c>
      <c r="D319">
        <v>128.91999816894531</v>
      </c>
      <c r="E319">
        <v>109.6800003051758</v>
      </c>
      <c r="F319">
        <f>(Table[[#This Row],[price_lag]] - Table[[#This Row],[price]]) / Table[[#This Row],[price]]</f>
        <v>-0.14923982420908932</v>
      </c>
    </row>
    <row r="320" spans="1:6" hidden="1" x14ac:dyDescent="0.2">
      <c r="A320" t="s">
        <v>5</v>
      </c>
      <c r="B320" t="s">
        <v>324</v>
      </c>
      <c r="C320">
        <v>30.884042912672459</v>
      </c>
      <c r="D320">
        <v>191.36000061035159</v>
      </c>
      <c r="E320">
        <v>170.6600036621094</v>
      </c>
      <c r="F320">
        <f>(Table[[#This Row],[price_lag]] - Table[[#This Row],[price]]) / Table[[#This Row],[price]]</f>
        <v>-0.10817306063032289</v>
      </c>
    </row>
    <row r="321" spans="1:6" hidden="1" x14ac:dyDescent="0.2">
      <c r="A321" t="s">
        <v>5</v>
      </c>
      <c r="B321" t="s">
        <v>325</v>
      </c>
      <c r="C321">
        <v>0</v>
      </c>
      <c r="D321">
        <v>44.783298492431641</v>
      </c>
      <c r="E321">
        <v>46.799999237060547</v>
      </c>
      <c r="F321">
        <f>(Table[[#This Row],[price_lag]] - Table[[#This Row],[price]]) / Table[[#This Row],[price]]</f>
        <v>4.503242977892144E-2</v>
      </c>
    </row>
    <row r="322" spans="1:6" hidden="1" x14ac:dyDescent="0.2">
      <c r="A322" t="s">
        <v>5</v>
      </c>
      <c r="B322" t="s">
        <v>326</v>
      </c>
      <c r="C322">
        <v>27.14917701587343</v>
      </c>
      <c r="D322">
        <v>61.900123596191413</v>
      </c>
      <c r="E322">
        <v>54.310001373291023</v>
      </c>
      <c r="F322">
        <f>(Table[[#This Row],[price_lag]] - Table[[#This Row],[price]]) / Table[[#This Row],[price]]</f>
        <v>-0.12261885408201988</v>
      </c>
    </row>
    <row r="323" spans="1:6" hidden="1" x14ac:dyDescent="0.2">
      <c r="A323" t="s">
        <v>5</v>
      </c>
      <c r="B323" t="s">
        <v>327</v>
      </c>
      <c r="C323">
        <v>61.766499345020577</v>
      </c>
      <c r="D323">
        <v>919.08551025390625</v>
      </c>
      <c r="E323">
        <v>922.3499755859375</v>
      </c>
      <c r="F323">
        <f>(Table[[#This Row],[price_lag]] - Table[[#This Row],[price]]) / Table[[#This Row],[price]]</f>
        <v>3.5518624715663396E-3</v>
      </c>
    </row>
    <row r="324" spans="1:6" hidden="1" x14ac:dyDescent="0.2">
      <c r="A324" t="s">
        <v>5</v>
      </c>
      <c r="B324" t="s">
        <v>328</v>
      </c>
      <c r="C324">
        <v>31.162035906756358</v>
      </c>
      <c r="D324">
        <v>67.30999755859375</v>
      </c>
      <c r="E324">
        <v>77.410003662109375</v>
      </c>
      <c r="F324">
        <f>(Table[[#This Row],[price_lag]] - Table[[#This Row],[price]]) / Table[[#This Row],[price]]</f>
        <v>0.15005209433744979</v>
      </c>
    </row>
    <row r="325" spans="1:6" hidden="1" x14ac:dyDescent="0.2">
      <c r="A325" t="s">
        <v>5</v>
      </c>
      <c r="B325" t="s">
        <v>329</v>
      </c>
      <c r="C325">
        <v>32.931865153220222</v>
      </c>
      <c r="D325">
        <v>475.5361328125</v>
      </c>
      <c r="E325">
        <v>515.75</v>
      </c>
      <c r="F325">
        <f>(Table[[#This Row],[price_lag]] - Table[[#This Row],[price]]) / Table[[#This Row],[price]]</f>
        <v>8.4565324089381028E-2</v>
      </c>
    </row>
    <row r="326" spans="1:6" hidden="1" x14ac:dyDescent="0.2">
      <c r="A326" t="s">
        <v>5</v>
      </c>
      <c r="B326" t="s">
        <v>330</v>
      </c>
      <c r="C326">
        <v>13.957431375348531</v>
      </c>
      <c r="D326">
        <v>157.99812316894531</v>
      </c>
      <c r="E326">
        <v>179.08000183105469</v>
      </c>
      <c r="F326">
        <f>(Table[[#This Row],[price_lag]] - Table[[#This Row],[price]]) / Table[[#This Row],[price]]</f>
        <v>0.13343119677166546</v>
      </c>
    </row>
    <row r="327" spans="1:6" hidden="1" x14ac:dyDescent="0.2">
      <c r="A327" t="s">
        <v>5</v>
      </c>
      <c r="B327" t="s">
        <v>331</v>
      </c>
      <c r="C327">
        <v>6.628373747320035</v>
      </c>
      <c r="D327">
        <v>34.364856719970703</v>
      </c>
      <c r="E327">
        <v>24.14999961853027</v>
      </c>
      <c r="F327">
        <f>(Table[[#This Row],[price_lag]] - Table[[#This Row],[price]]) / Table[[#This Row],[price]]</f>
        <v>-0.29724719019428353</v>
      </c>
    </row>
    <row r="328" spans="1:6" hidden="1" x14ac:dyDescent="0.2">
      <c r="A328" t="s">
        <v>5</v>
      </c>
      <c r="B328" t="s">
        <v>332</v>
      </c>
      <c r="C328">
        <v>33.811040589646687</v>
      </c>
      <c r="D328">
        <v>455.7728271484375</v>
      </c>
      <c r="E328">
        <v>383.94000244140619</v>
      </c>
      <c r="F328">
        <f>(Table[[#This Row],[price_lag]] - Table[[#This Row],[price]]) / Table[[#This Row],[price]]</f>
        <v>-0.15760664179226413</v>
      </c>
    </row>
    <row r="329" spans="1:6" hidden="1" x14ac:dyDescent="0.2">
      <c r="A329" t="s">
        <v>5</v>
      </c>
      <c r="B329" t="s">
        <v>333</v>
      </c>
      <c r="C329">
        <v>33.194166729707668</v>
      </c>
      <c r="D329">
        <v>565.62860107421875</v>
      </c>
      <c r="E329">
        <v>582.25</v>
      </c>
      <c r="F329">
        <f>(Table[[#This Row],[price_lag]] - Table[[#This Row],[price]]) / Table[[#This Row],[price]]</f>
        <v>2.9385711568005169E-2</v>
      </c>
    </row>
    <row r="330" spans="1:6" hidden="1" x14ac:dyDescent="0.2">
      <c r="A330" t="s">
        <v>5</v>
      </c>
      <c r="B330" t="s">
        <v>334</v>
      </c>
      <c r="C330">
        <v>29.792399019808379</v>
      </c>
      <c r="D330">
        <v>88.185501098632812</v>
      </c>
      <c r="E330">
        <v>98.180000305175781</v>
      </c>
      <c r="F330">
        <f>(Table[[#This Row],[price_lag]] - Table[[#This Row],[price]]) / Table[[#This Row],[price]]</f>
        <v>0.11333494828548317</v>
      </c>
    </row>
    <row r="331" spans="1:6" hidden="1" x14ac:dyDescent="0.2">
      <c r="A331" t="s">
        <v>5</v>
      </c>
      <c r="B331" t="s">
        <v>335</v>
      </c>
      <c r="C331">
        <v>19.178799398584299</v>
      </c>
      <c r="D331">
        <v>117.37425231933589</v>
      </c>
      <c r="E331">
        <v>107.89353942871089</v>
      </c>
      <c r="F331">
        <f>(Table[[#This Row],[price_lag]] - Table[[#This Row],[price]]) / Table[[#This Row],[price]]</f>
        <v>-8.0773361306116495E-2</v>
      </c>
    </row>
    <row r="332" spans="1:6" hidden="1" x14ac:dyDescent="0.2">
      <c r="A332" t="s">
        <v>5</v>
      </c>
      <c r="B332" t="s">
        <v>336</v>
      </c>
      <c r="C332">
        <v>49.954999287923179</v>
      </c>
      <c r="D332">
        <v>119.8919982910156</v>
      </c>
      <c r="E332">
        <v>93.779998779296875</v>
      </c>
      <c r="F332">
        <f>(Table[[#This Row],[price_lag]] - Table[[#This Row],[price]]) / Table[[#This Row],[price]]</f>
        <v>-0.21779601544664126</v>
      </c>
    </row>
    <row r="333" spans="1:6" hidden="1" x14ac:dyDescent="0.2">
      <c r="A333" t="s">
        <v>5</v>
      </c>
      <c r="B333" t="s">
        <v>337</v>
      </c>
      <c r="C333">
        <v>12.584682852922089</v>
      </c>
      <c r="D333">
        <v>84.065681457519531</v>
      </c>
      <c r="E333">
        <v>101.86000061035161</v>
      </c>
      <c r="F333">
        <f>(Table[[#This Row],[price_lag]] - Table[[#This Row],[price]]) / Table[[#This Row],[price]]</f>
        <v>0.21167162204976575</v>
      </c>
    </row>
    <row r="334" spans="1:6" hidden="1" x14ac:dyDescent="0.2">
      <c r="A334" t="s">
        <v>5</v>
      </c>
      <c r="B334" t="s">
        <v>338</v>
      </c>
      <c r="C334">
        <v>38.38749885559082</v>
      </c>
      <c r="D334">
        <v>30.70999908447266</v>
      </c>
      <c r="E334">
        <v>26.389999389648441</v>
      </c>
      <c r="F334">
        <f>(Table[[#This Row],[price_lag]] - Table[[#This Row],[price]]) / Table[[#This Row],[price]]</f>
        <v>-0.14067078552953985</v>
      </c>
    </row>
    <row r="335" spans="1:6" hidden="1" x14ac:dyDescent="0.2">
      <c r="A335" t="s">
        <v>5</v>
      </c>
      <c r="B335" t="s">
        <v>339</v>
      </c>
      <c r="C335">
        <v>43.187499046325676</v>
      </c>
      <c r="D335">
        <v>34.549999237060547</v>
      </c>
      <c r="E335">
        <v>29.920000076293949</v>
      </c>
      <c r="F335">
        <f>(Table[[#This Row],[price_lag]] - Table[[#This Row],[price]]) / Table[[#This Row],[price]]</f>
        <v>-0.13400866173681891</v>
      </c>
    </row>
    <row r="336" spans="1:6" hidden="1" x14ac:dyDescent="0.2">
      <c r="A336" t="s">
        <v>5</v>
      </c>
      <c r="B336" t="s">
        <v>340</v>
      </c>
      <c r="C336">
        <v>15.88607076871193</v>
      </c>
      <c r="D336">
        <v>74.982254028320312</v>
      </c>
      <c r="E336">
        <v>80.529998779296875</v>
      </c>
      <c r="F336">
        <f>(Table[[#This Row],[price_lag]] - Table[[#This Row],[price]]) / Table[[#This Row],[price]]</f>
        <v>7.3987436399034032E-2</v>
      </c>
    </row>
    <row r="337" spans="1:6" hidden="1" x14ac:dyDescent="0.2">
      <c r="A337" t="s">
        <v>5</v>
      </c>
      <c r="B337" t="s">
        <v>341</v>
      </c>
      <c r="C337">
        <v>35.350842378577411</v>
      </c>
      <c r="D337">
        <v>69.287651062011719</v>
      </c>
      <c r="E337">
        <v>61.189998626708977</v>
      </c>
      <c r="F337">
        <f>(Table[[#This Row],[price_lag]] - Table[[#This Row],[price]]) / Table[[#This Row],[price]]</f>
        <v>-0.11687006719358155</v>
      </c>
    </row>
    <row r="338" spans="1:6" hidden="1" x14ac:dyDescent="0.2">
      <c r="A338" t="s">
        <v>5</v>
      </c>
      <c r="B338" t="s">
        <v>342</v>
      </c>
      <c r="C338">
        <v>53.765277862548828</v>
      </c>
      <c r="D338">
        <v>43.012222290039062</v>
      </c>
      <c r="E338">
        <v>42.049999237060547</v>
      </c>
      <c r="F338">
        <f>(Table[[#This Row],[price_lag]] - Table[[#This Row],[price]]) / Table[[#This Row],[price]]</f>
        <v>-2.2370921606655766E-2</v>
      </c>
    </row>
    <row r="339" spans="1:6" hidden="1" x14ac:dyDescent="0.2">
      <c r="A339" t="s">
        <v>5</v>
      </c>
      <c r="B339" t="s">
        <v>343</v>
      </c>
      <c r="C339">
        <v>20.940989741572629</v>
      </c>
      <c r="D339">
        <v>226.1626892089844</v>
      </c>
      <c r="E339">
        <v>243.96000671386719</v>
      </c>
      <c r="F339">
        <f>(Table[[#This Row],[price_lag]] - Table[[#This Row],[price]]) / Table[[#This Row],[price]]</f>
        <v>7.8692544588719798E-2</v>
      </c>
    </row>
    <row r="340" spans="1:6" hidden="1" x14ac:dyDescent="0.2">
      <c r="A340" t="s">
        <v>5</v>
      </c>
      <c r="B340" t="s">
        <v>344</v>
      </c>
      <c r="C340">
        <v>23.588398358521619</v>
      </c>
      <c r="D340">
        <v>298.97238159179688</v>
      </c>
      <c r="E340">
        <v>290.1099853515625</v>
      </c>
      <c r="F340">
        <f>(Table[[#This Row],[price_lag]] - Table[[#This Row],[price]]) / Table[[#This Row],[price]]</f>
        <v>-2.964285929372126E-2</v>
      </c>
    </row>
    <row r="341" spans="1:6" hidden="1" x14ac:dyDescent="0.2">
      <c r="A341" t="s">
        <v>5</v>
      </c>
      <c r="B341" t="s">
        <v>345</v>
      </c>
      <c r="C341">
        <v>14.542571358058771</v>
      </c>
      <c r="D341">
        <v>133.7916564941406</v>
      </c>
      <c r="E341">
        <v>138.1300048828125</v>
      </c>
      <c r="F341">
        <f>(Table[[#This Row],[price_lag]] - Table[[#This Row],[price]]) / Table[[#This Row],[price]]</f>
        <v>3.2426150496626081E-2</v>
      </c>
    </row>
    <row r="342" spans="1:6" hidden="1" x14ac:dyDescent="0.2">
      <c r="A342" t="s">
        <v>5</v>
      </c>
      <c r="B342" t="s">
        <v>346</v>
      </c>
      <c r="C342">
        <v>19.72888008980819</v>
      </c>
      <c r="D342">
        <v>606.8603515625</v>
      </c>
      <c r="E342">
        <v>574.57000732421875</v>
      </c>
      <c r="F342">
        <f>(Table[[#This Row],[price_lag]] - Table[[#This Row],[price]]) / Table[[#This Row],[price]]</f>
        <v>-5.3208854648589932E-2</v>
      </c>
    </row>
    <row r="343" spans="1:6" hidden="1" x14ac:dyDescent="0.2">
      <c r="A343" t="s">
        <v>5</v>
      </c>
      <c r="B343" t="s">
        <v>347</v>
      </c>
      <c r="C343">
        <v>6.6209675163351074</v>
      </c>
      <c r="D343">
        <v>24.629999160766602</v>
      </c>
      <c r="E343">
        <v>22.430000305175781</v>
      </c>
      <c r="F343">
        <f>(Table[[#This Row],[price_lag]] - Table[[#This Row],[price]]) / Table[[#This Row],[price]]</f>
        <v>-8.9321921662718642E-2</v>
      </c>
    </row>
    <row r="344" spans="1:6" hidden="1" x14ac:dyDescent="0.2">
      <c r="A344" t="s">
        <v>5</v>
      </c>
      <c r="B344" t="s">
        <v>348</v>
      </c>
      <c r="C344">
        <v>57.691203526088167</v>
      </c>
      <c r="D344">
        <v>161.5353698730469</v>
      </c>
      <c r="E344">
        <v>160.42999267578119</v>
      </c>
      <c r="F344">
        <f>(Table[[#This Row],[price_lag]] - Table[[#This Row],[price]]) / Table[[#This Row],[price]]</f>
        <v>-6.8429421874258434E-3</v>
      </c>
    </row>
    <row r="345" spans="1:6" hidden="1" x14ac:dyDescent="0.2">
      <c r="A345" t="s">
        <v>5</v>
      </c>
      <c r="B345" t="s">
        <v>349</v>
      </c>
      <c r="C345">
        <v>12.82982771840839</v>
      </c>
      <c r="D345">
        <v>134.96978759765619</v>
      </c>
      <c r="E345">
        <v>164.24000549316409</v>
      </c>
      <c r="F345">
        <f>(Table[[#This Row],[price_lag]] - Table[[#This Row],[price]]) / Table[[#This Row],[price]]</f>
        <v>0.21686496227409183</v>
      </c>
    </row>
    <row r="346" spans="1:6" hidden="1" x14ac:dyDescent="0.2">
      <c r="A346" t="s">
        <v>5</v>
      </c>
      <c r="B346" t="s">
        <v>350</v>
      </c>
      <c r="C346">
        <v>35.604887518263951</v>
      </c>
      <c r="D346">
        <v>186.5696105957031</v>
      </c>
      <c r="E346">
        <v>187.53999328613281</v>
      </c>
      <c r="F346">
        <f>(Table[[#This Row],[price_lag]] - Table[[#This Row],[price]]) / Table[[#This Row],[price]]</f>
        <v>5.2011830186671614E-3</v>
      </c>
    </row>
    <row r="347" spans="1:6" hidden="1" x14ac:dyDescent="0.2">
      <c r="A347" t="s">
        <v>5</v>
      </c>
      <c r="B347" t="s">
        <v>351</v>
      </c>
      <c r="C347">
        <v>16.84273888195958</v>
      </c>
      <c r="D347">
        <v>8034.66015625</v>
      </c>
      <c r="E347">
        <v>7327.2001953125</v>
      </c>
      <c r="F347">
        <f>(Table[[#This Row],[price_lag]] - Table[[#This Row],[price]]) / Table[[#This Row],[price]]</f>
        <v>-8.8051012386277619E-2</v>
      </c>
    </row>
    <row r="348" spans="1:6" hidden="1" x14ac:dyDescent="0.2">
      <c r="A348" t="s">
        <v>5</v>
      </c>
      <c r="B348" t="s">
        <v>352</v>
      </c>
      <c r="C348">
        <v>22.671742248535161</v>
      </c>
      <c r="D348">
        <v>226.71742248535159</v>
      </c>
      <c r="E348">
        <v>219.97999572753909</v>
      </c>
      <c r="F348">
        <f>(Table[[#This Row],[price_lag]] - Table[[#This Row],[price]]) / Table[[#This Row],[price]]</f>
        <v>-2.9717287202521064E-2</v>
      </c>
    </row>
    <row r="349" spans="1:6" hidden="1" x14ac:dyDescent="0.2">
      <c r="A349" t="s">
        <v>5</v>
      </c>
      <c r="B349" t="s">
        <v>353</v>
      </c>
      <c r="C349">
        <v>31.340115569358652</v>
      </c>
      <c r="D349">
        <v>107.80999755859381</v>
      </c>
      <c r="E349">
        <v>91.470001220703125</v>
      </c>
      <c r="F349">
        <f>(Table[[#This Row],[price_lag]] - Table[[#This Row],[price]]) / Table[[#This Row],[price]]</f>
        <v>-0.15156290425672289</v>
      </c>
    </row>
    <row r="350" spans="1:6" hidden="1" x14ac:dyDescent="0.2">
      <c r="A350" t="s">
        <v>5</v>
      </c>
      <c r="B350" t="s">
        <v>354</v>
      </c>
      <c r="C350">
        <v>17.528760255272712</v>
      </c>
      <c r="D350">
        <v>46.977077484130859</v>
      </c>
      <c r="E350">
        <v>41.459999084472663</v>
      </c>
      <c r="F350">
        <f>(Table[[#This Row],[price_lag]] - Table[[#This Row],[price]]) / Table[[#This Row],[price]]</f>
        <v>-0.11744192476685887</v>
      </c>
    </row>
    <row r="351" spans="1:6" hidden="1" x14ac:dyDescent="0.2">
      <c r="A351" t="s">
        <v>5</v>
      </c>
      <c r="B351" t="s">
        <v>355</v>
      </c>
      <c r="C351">
        <v>27.228942397952999</v>
      </c>
      <c r="D351">
        <v>140.5013427734375</v>
      </c>
      <c r="E351">
        <v>159.30999755859381</v>
      </c>
      <c r="F351">
        <f>(Table[[#This Row],[price_lag]] - Table[[#This Row],[price]]) / Table[[#This Row],[price]]</f>
        <v>0.13386814968370664</v>
      </c>
    </row>
    <row r="352" spans="1:6" hidden="1" x14ac:dyDescent="0.2">
      <c r="A352" t="s">
        <v>5</v>
      </c>
      <c r="B352" t="s">
        <v>356</v>
      </c>
      <c r="C352">
        <v>11.46750991994684</v>
      </c>
      <c r="D352">
        <v>80.731269836425781</v>
      </c>
      <c r="E352">
        <v>80.730003356933594</v>
      </c>
      <c r="F352">
        <f>(Table[[#This Row],[price_lag]] - Table[[#This Row],[price]]) / Table[[#This Row],[price]]</f>
        <v>-1.5687595336399218E-5</v>
      </c>
    </row>
    <row r="353" spans="1:6" hidden="1" x14ac:dyDescent="0.2">
      <c r="A353" t="s">
        <v>5</v>
      </c>
      <c r="B353" t="s">
        <v>357</v>
      </c>
      <c r="C353">
        <v>19.567460862417072</v>
      </c>
      <c r="D353">
        <v>49.310001373291023</v>
      </c>
      <c r="E353">
        <v>54.240001678466797</v>
      </c>
      <c r="F353">
        <f>(Table[[#This Row],[price_lag]] - Table[[#This Row],[price]]) / Table[[#This Row],[price]]</f>
        <v>9.9979723542375123E-2</v>
      </c>
    </row>
    <row r="354" spans="1:6" hidden="1" x14ac:dyDescent="0.2">
      <c r="A354" t="s">
        <v>5</v>
      </c>
      <c r="B354" t="s">
        <v>358</v>
      </c>
      <c r="C354">
        <v>12.055071888354</v>
      </c>
      <c r="D354">
        <v>71.848228454589844</v>
      </c>
      <c r="E354">
        <v>73.819999694824219</v>
      </c>
      <c r="F354">
        <f>(Table[[#This Row],[price_lag]] - Table[[#This Row],[price]]) / Table[[#This Row],[price]]</f>
        <v>2.7443560998592909E-2</v>
      </c>
    </row>
    <row r="355" spans="1:6" hidden="1" x14ac:dyDescent="0.2">
      <c r="A355" t="s">
        <v>5</v>
      </c>
      <c r="B355" t="s">
        <v>359</v>
      </c>
      <c r="C355">
        <v>67.310722057635971</v>
      </c>
      <c r="D355">
        <v>280.01260375976562</v>
      </c>
      <c r="E355">
        <v>196.69007873535159</v>
      </c>
      <c r="F355">
        <f>(Table[[#This Row],[price_lag]] - Table[[#This Row],[price]]) / Table[[#This Row],[price]]</f>
        <v>-0.29756705200277295</v>
      </c>
    </row>
    <row r="356" spans="1:6" hidden="1" x14ac:dyDescent="0.2">
      <c r="A356" t="s">
        <v>5</v>
      </c>
      <c r="B356" t="s">
        <v>360</v>
      </c>
      <c r="C356">
        <v>23.699506123860679</v>
      </c>
      <c r="D356">
        <v>91.006103515625</v>
      </c>
      <c r="E356">
        <v>88.010002136230469</v>
      </c>
      <c r="F356">
        <f>(Table[[#This Row],[price_lag]] - Table[[#This Row],[price]]) / Table[[#This Row],[price]]</f>
        <v>-3.2921982852283364E-2</v>
      </c>
    </row>
    <row r="357" spans="1:6" hidden="1" x14ac:dyDescent="0.2">
      <c r="A357" t="s">
        <v>5</v>
      </c>
      <c r="B357" t="s">
        <v>361</v>
      </c>
      <c r="C357">
        <v>21.597909927368161</v>
      </c>
      <c r="D357">
        <v>96.758636474609375</v>
      </c>
      <c r="E357">
        <v>110.9599990844727</v>
      </c>
      <c r="F357">
        <f>(Table[[#This Row],[price_lag]] - Table[[#This Row],[price]]) / Table[[#This Row],[price]]</f>
        <v>0.14677100801838946</v>
      </c>
    </row>
    <row r="358" spans="1:6" hidden="1" x14ac:dyDescent="0.2">
      <c r="A358" t="s">
        <v>5</v>
      </c>
      <c r="B358" t="s">
        <v>362</v>
      </c>
      <c r="C358">
        <v>21.488254789322141</v>
      </c>
      <c r="D358">
        <v>216.60160827636719</v>
      </c>
      <c r="E358">
        <v>208.25999450683591</v>
      </c>
      <c r="F358">
        <f>(Table[[#This Row],[price_lag]] - Table[[#This Row],[price]]) / Table[[#This Row],[price]]</f>
        <v>-3.8511319633822906E-2</v>
      </c>
    </row>
    <row r="359" spans="1:6" hidden="1" x14ac:dyDescent="0.2">
      <c r="A359" t="s">
        <v>5</v>
      </c>
      <c r="B359" t="s">
        <v>363</v>
      </c>
      <c r="C359">
        <v>227.69256656399821</v>
      </c>
      <c r="D359">
        <v>182.41999816894531</v>
      </c>
      <c r="E359">
        <v>180.8399963378906</v>
      </c>
      <c r="F359">
        <f>(Table[[#This Row],[price_lag]] - Table[[#This Row],[price]]) / Table[[#This Row],[price]]</f>
        <v>-8.6613411189239396E-3</v>
      </c>
    </row>
    <row r="360" spans="1:6" hidden="1" x14ac:dyDescent="0.2">
      <c r="A360" t="s">
        <v>5</v>
      </c>
      <c r="B360" t="s">
        <v>364</v>
      </c>
      <c r="C360">
        <v>103.88775261081</v>
      </c>
      <c r="D360">
        <v>203.6199951171875</v>
      </c>
      <c r="E360">
        <v>186.8500061035156</v>
      </c>
      <c r="F360">
        <f>(Table[[#This Row],[price_lag]] - Table[[#This Row],[price]]) / Table[[#This Row],[price]]</f>
        <v>-8.2359244749124122E-2</v>
      </c>
    </row>
    <row r="361" spans="1:6" hidden="1" x14ac:dyDescent="0.2">
      <c r="A361" t="s">
        <v>5</v>
      </c>
      <c r="B361" t="s">
        <v>365</v>
      </c>
      <c r="C361">
        <v>29.59757582495843</v>
      </c>
      <c r="D361">
        <v>756.5140380859375</v>
      </c>
      <c r="E361">
        <v>888.82000732421875</v>
      </c>
      <c r="F361">
        <f>(Table[[#This Row],[price_lag]] - Table[[#This Row],[price]]) / Table[[#This Row],[price]]</f>
        <v>0.17488898100692182</v>
      </c>
    </row>
    <row r="362" spans="1:6" hidden="1" x14ac:dyDescent="0.2">
      <c r="A362" t="s">
        <v>5</v>
      </c>
      <c r="B362" t="s">
        <v>366</v>
      </c>
      <c r="C362">
        <v>29.333308924024351</v>
      </c>
      <c r="D362">
        <v>125.5465621948242</v>
      </c>
      <c r="E362">
        <v>113.38999938964839</v>
      </c>
      <c r="F362">
        <f>(Table[[#This Row],[price_lag]] - Table[[#This Row],[price]]) / Table[[#This Row],[price]]</f>
        <v>-9.6829117362139741E-2</v>
      </c>
    </row>
    <row r="363" spans="1:6" hidden="1" x14ac:dyDescent="0.2">
      <c r="A363" t="s">
        <v>5</v>
      </c>
      <c r="B363" t="s">
        <v>367</v>
      </c>
      <c r="C363">
        <v>26.352614194608581</v>
      </c>
      <c r="D363">
        <v>207.6585998535156</v>
      </c>
      <c r="E363">
        <v>160.52000427246091</v>
      </c>
      <c r="F363">
        <f>(Table[[#This Row],[price_lag]] - Table[[#This Row],[price]]) / Table[[#This Row],[price]]</f>
        <v>-0.22700044984559614</v>
      </c>
    </row>
    <row r="364" spans="1:6" hidden="1" x14ac:dyDescent="0.2">
      <c r="A364" t="s">
        <v>5</v>
      </c>
      <c r="B364" t="s">
        <v>368</v>
      </c>
      <c r="C364">
        <v>12.768192145660629</v>
      </c>
      <c r="D364">
        <v>66.905326843261719</v>
      </c>
      <c r="E364">
        <v>59.099998474121087</v>
      </c>
      <c r="F364">
        <f>(Table[[#This Row],[price_lag]] - Table[[#This Row],[price]]) / Table[[#This Row],[price]]</f>
        <v>-0.11666228591074786</v>
      </c>
    </row>
    <row r="365" spans="1:6" hidden="1" x14ac:dyDescent="0.2">
      <c r="A365" t="s">
        <v>5</v>
      </c>
      <c r="B365" t="s">
        <v>369</v>
      </c>
      <c r="C365">
        <v>24.388041538474841</v>
      </c>
      <c r="D365">
        <v>110.23394775390619</v>
      </c>
      <c r="E365">
        <v>105.51589202880859</v>
      </c>
      <c r="F365">
        <f>(Table[[#This Row],[price_lag]] - Table[[#This Row],[price]]) / Table[[#This Row],[price]]</f>
        <v>-4.2800387913444864E-2</v>
      </c>
    </row>
    <row r="366" spans="1:6" hidden="1" x14ac:dyDescent="0.2">
      <c r="A366" t="s">
        <v>5</v>
      </c>
      <c r="B366" t="s">
        <v>370</v>
      </c>
      <c r="C366">
        <v>18.299956070749381</v>
      </c>
      <c r="D366">
        <v>139.07966613769531</v>
      </c>
      <c r="E366">
        <v>144.1600036621094</v>
      </c>
      <c r="F366">
        <f>(Table[[#This Row],[price_lag]] - Table[[#This Row],[price]]) / Table[[#This Row],[price]]</f>
        <v>3.6528255103692307E-2</v>
      </c>
    </row>
    <row r="367" spans="1:6" hidden="1" x14ac:dyDescent="0.2">
      <c r="A367" t="s">
        <v>5</v>
      </c>
      <c r="B367" t="s">
        <v>371</v>
      </c>
      <c r="C367">
        <v>9.9300715231126357</v>
      </c>
      <c r="D367">
        <v>24.626577377319339</v>
      </c>
      <c r="E367">
        <v>24.578287124633789</v>
      </c>
      <c r="F367">
        <f>(Table[[#This Row],[price_lag]] - Table[[#This Row],[price]]) / Table[[#This Row],[price]]</f>
        <v>-1.9608998824995035E-3</v>
      </c>
    </row>
    <row r="368" spans="1:6" hidden="1" x14ac:dyDescent="0.2">
      <c r="A368" t="s">
        <v>5</v>
      </c>
      <c r="B368" t="s">
        <v>372</v>
      </c>
      <c r="C368">
        <v>10.15750653034932</v>
      </c>
      <c r="D368">
        <v>15.03310966491699</v>
      </c>
      <c r="E368">
        <v>16.030000686645511</v>
      </c>
      <c r="F368">
        <f>(Table[[#This Row],[price_lag]] - Table[[#This Row],[price]]) / Table[[#This Row],[price]]</f>
        <v>6.6313027972847258E-2</v>
      </c>
    </row>
    <row r="369" spans="1:6" hidden="1" x14ac:dyDescent="0.2">
      <c r="A369" t="s">
        <v>5</v>
      </c>
      <c r="B369" t="s">
        <v>373</v>
      </c>
      <c r="C369">
        <v>17.851758537805669</v>
      </c>
      <c r="D369">
        <v>159.23768615722659</v>
      </c>
      <c r="E369">
        <v>161.94999694824219</v>
      </c>
      <c r="F369">
        <f>(Table[[#This Row],[price_lag]] - Table[[#This Row],[price]]) / Table[[#This Row],[price]]</f>
        <v>1.7033095974137311E-2</v>
      </c>
    </row>
    <row r="370" spans="1:6" hidden="1" x14ac:dyDescent="0.2">
      <c r="A370" t="s">
        <v>5</v>
      </c>
      <c r="B370" t="s">
        <v>374</v>
      </c>
      <c r="C370">
        <v>105.3696274757385</v>
      </c>
      <c r="D370">
        <v>134.87312316894531</v>
      </c>
      <c r="E370">
        <v>129.55999755859381</v>
      </c>
      <c r="F370">
        <f>(Table[[#This Row],[price_lag]] - Table[[#This Row],[price]]) / Table[[#This Row],[price]]</f>
        <v>-3.9393509140410107E-2</v>
      </c>
    </row>
    <row r="371" spans="1:6" hidden="1" x14ac:dyDescent="0.2">
      <c r="A371" t="s">
        <v>5</v>
      </c>
      <c r="B371" t="s">
        <v>375</v>
      </c>
      <c r="C371">
        <v>6.4303102355072461</v>
      </c>
      <c r="D371">
        <v>88.73828125</v>
      </c>
      <c r="E371">
        <v>89.260002136230469</v>
      </c>
      <c r="F371">
        <f>(Table[[#This Row],[price_lag]] - Table[[#This Row],[price]]) / Table[[#This Row],[price]]</f>
        <v>5.8793215158251533E-3</v>
      </c>
    </row>
    <row r="372" spans="1:6" hidden="1" x14ac:dyDescent="0.2">
      <c r="A372" t="s">
        <v>5</v>
      </c>
      <c r="B372" t="s">
        <v>376</v>
      </c>
      <c r="C372">
        <v>11.32947151814032</v>
      </c>
      <c r="D372">
        <v>197.58598327636719</v>
      </c>
      <c r="E372">
        <v>209.45231628417969</v>
      </c>
      <c r="F372">
        <f>(Table[[#This Row],[price_lag]] - Table[[#This Row],[price]]) / Table[[#This Row],[price]]</f>
        <v>6.005655265138337E-2</v>
      </c>
    </row>
    <row r="373" spans="1:6" hidden="1" x14ac:dyDescent="0.2">
      <c r="A373" t="s">
        <v>5</v>
      </c>
      <c r="B373" t="s">
        <v>377</v>
      </c>
      <c r="C373">
        <v>22.620669278231532</v>
      </c>
      <c r="D373">
        <v>308.54592895507812</v>
      </c>
      <c r="E373">
        <v>231.07000732421881</v>
      </c>
      <c r="F373">
        <f>(Table[[#This Row],[price_lag]] - Table[[#This Row],[price]]) / Table[[#This Row],[price]]</f>
        <v>-0.25110012597877834</v>
      </c>
    </row>
    <row r="374" spans="1:6" hidden="1" x14ac:dyDescent="0.2">
      <c r="A374" t="s">
        <v>5</v>
      </c>
      <c r="B374" t="s">
        <v>378</v>
      </c>
      <c r="C374">
        <v>12.97694628511495</v>
      </c>
      <c r="D374">
        <v>104.3346481323242</v>
      </c>
      <c r="E374">
        <v>103.6800003051758</v>
      </c>
      <c r="F374">
        <f>(Table[[#This Row],[price_lag]] - Table[[#This Row],[price]]) / Table[[#This Row],[price]]</f>
        <v>-6.2745007422475877E-3</v>
      </c>
    </row>
    <row r="375" spans="1:6" hidden="1" x14ac:dyDescent="0.2">
      <c r="A375" t="s">
        <v>5</v>
      </c>
      <c r="B375" t="s">
        <v>379</v>
      </c>
      <c r="C375">
        <v>21.430153070494189</v>
      </c>
      <c r="D375">
        <v>36.85986328125</v>
      </c>
      <c r="E375">
        <v>35.330001831054688</v>
      </c>
      <c r="F375">
        <f>(Table[[#This Row],[price_lag]] - Table[[#This Row],[price]]) / Table[[#This Row],[price]]</f>
        <v>-4.1504805335876749E-2</v>
      </c>
    </row>
    <row r="376" spans="1:6" hidden="1" x14ac:dyDescent="0.2">
      <c r="A376" t="s">
        <v>5</v>
      </c>
      <c r="B376" t="s">
        <v>380</v>
      </c>
      <c r="C376">
        <v>21.178376380655941</v>
      </c>
      <c r="D376">
        <v>82.133216857910156</v>
      </c>
      <c r="E376">
        <v>88.900001525878906</v>
      </c>
      <c r="F376">
        <f>(Table[[#This Row],[price_lag]] - Table[[#This Row],[price]]) / Table[[#This Row],[price]]</f>
        <v>8.238791717698378E-2</v>
      </c>
    </row>
    <row r="377" spans="1:6" hidden="1" x14ac:dyDescent="0.2">
      <c r="A377" t="s">
        <v>5</v>
      </c>
      <c r="B377" t="s">
        <v>381</v>
      </c>
      <c r="C377">
        <v>18.938411712646481</v>
      </c>
      <c r="D377">
        <v>151.5072937011719</v>
      </c>
      <c r="E377">
        <v>143.0344543457031</v>
      </c>
      <c r="F377">
        <f>(Table[[#This Row],[price_lag]] - Table[[#This Row],[price]]) / Table[[#This Row],[price]]</f>
        <v>-5.5923640033993097E-2</v>
      </c>
    </row>
    <row r="378" spans="1:6" hidden="1" x14ac:dyDescent="0.2">
      <c r="A378" t="s">
        <v>5</v>
      </c>
      <c r="B378" t="s">
        <v>382</v>
      </c>
      <c r="C378">
        <v>13.010500578602329</v>
      </c>
      <c r="D378">
        <v>232.1073303222656</v>
      </c>
      <c r="E378">
        <v>216.2356262207031</v>
      </c>
      <c r="F378">
        <f>(Table[[#This Row],[price_lag]] - Table[[#This Row],[price]]) / Table[[#This Row],[price]]</f>
        <v>-6.8380882583612052E-2</v>
      </c>
    </row>
    <row r="379" spans="1:6" hidden="1" x14ac:dyDescent="0.2">
      <c r="A379" t="s">
        <v>5</v>
      </c>
      <c r="B379" t="s">
        <v>383</v>
      </c>
      <c r="C379">
        <v>34.644743291343133</v>
      </c>
      <c r="D379">
        <v>113.6347579956055</v>
      </c>
      <c r="E379">
        <v>129.00999450683591</v>
      </c>
      <c r="F379">
        <f>(Table[[#This Row],[price_lag]] - Table[[#This Row],[price]]) / Table[[#This Row],[price]]</f>
        <v>0.1353039930953609</v>
      </c>
    </row>
    <row r="380" spans="1:6" hidden="1" x14ac:dyDescent="0.2">
      <c r="A380" t="s">
        <v>5</v>
      </c>
      <c r="B380" t="s">
        <v>384</v>
      </c>
      <c r="C380">
        <v>6.3467648736844389</v>
      </c>
      <c r="D380">
        <v>102.3870010375977</v>
      </c>
      <c r="E380">
        <v>113.69000244140619</v>
      </c>
      <c r="F380">
        <f>(Table[[#This Row],[price_lag]] - Table[[#This Row],[price]]) / Table[[#This Row],[price]]</f>
        <v>0.11039488694134034</v>
      </c>
    </row>
    <row r="381" spans="1:6" hidden="1" x14ac:dyDescent="0.2">
      <c r="A381" t="s">
        <v>5</v>
      </c>
      <c r="B381" t="s">
        <v>385</v>
      </c>
      <c r="C381">
        <v>16.559440612792969</v>
      </c>
      <c r="D381">
        <v>82.797203063964844</v>
      </c>
      <c r="E381">
        <v>80.910003662109375</v>
      </c>
      <c r="F381">
        <f>(Table[[#This Row],[price_lag]] - Table[[#This Row],[price]]) / Table[[#This Row],[price]]</f>
        <v>-2.2793033242892467E-2</v>
      </c>
    </row>
    <row r="382" spans="1:6" hidden="1" x14ac:dyDescent="0.2">
      <c r="A382" t="s">
        <v>5</v>
      </c>
      <c r="B382" t="s">
        <v>386</v>
      </c>
      <c r="C382">
        <v>17.146959820309199</v>
      </c>
      <c r="D382">
        <v>203.02000427246091</v>
      </c>
      <c r="E382">
        <v>175.4100036621094</v>
      </c>
      <c r="F382">
        <f>(Table[[#This Row],[price_lag]] - Table[[#This Row],[price]]) / Table[[#This Row],[price]]</f>
        <v>-0.13599645369575397</v>
      </c>
    </row>
    <row r="383" spans="1:6" hidden="1" x14ac:dyDescent="0.2">
      <c r="A383" t="s">
        <v>5</v>
      </c>
      <c r="B383" t="s">
        <v>387</v>
      </c>
      <c r="C383">
        <v>27.157659494378269</v>
      </c>
      <c r="D383">
        <v>285.69857788085938</v>
      </c>
      <c r="E383">
        <v>261.1300048828125</v>
      </c>
      <c r="F383">
        <f>(Table[[#This Row],[price_lag]] - Table[[#This Row],[price]]) / Table[[#This Row],[price]]</f>
        <v>-8.5994733261473708E-2</v>
      </c>
    </row>
    <row r="384" spans="1:6" hidden="1" x14ac:dyDescent="0.2">
      <c r="A384" t="s">
        <v>5</v>
      </c>
      <c r="B384" t="s">
        <v>388</v>
      </c>
      <c r="C384">
        <v>11.061951298041629</v>
      </c>
      <c r="D384">
        <v>131.85845947265619</v>
      </c>
      <c r="E384">
        <v>118.129997253418</v>
      </c>
      <c r="F384">
        <f>(Table[[#This Row],[price_lag]] - Table[[#This Row],[price]]) / Table[[#This Row],[price]]</f>
        <v>-0.1041151419039982</v>
      </c>
    </row>
    <row r="385" spans="1:6" hidden="1" x14ac:dyDescent="0.2">
      <c r="A385" t="s">
        <v>5</v>
      </c>
      <c r="B385" t="s">
        <v>389</v>
      </c>
      <c r="C385">
        <v>45.417983071845882</v>
      </c>
      <c r="D385">
        <v>414.21200561523438</v>
      </c>
      <c r="E385">
        <v>428.6982421875</v>
      </c>
      <c r="F385">
        <f>(Table[[#This Row],[price_lag]] - Table[[#This Row],[price]]) / Table[[#This Row],[price]]</f>
        <v>3.4973000241142291E-2</v>
      </c>
    </row>
    <row r="386" spans="1:6" hidden="1" x14ac:dyDescent="0.2">
      <c r="A386" t="s">
        <v>5</v>
      </c>
      <c r="B386" t="s">
        <v>390</v>
      </c>
      <c r="C386">
        <v>0</v>
      </c>
      <c r="D386">
        <v>165.5142822265625</v>
      </c>
      <c r="E386">
        <v>173.6499938964844</v>
      </c>
      <c r="F386">
        <f>(Table[[#This Row],[price_lag]] - Table[[#This Row],[price]]) / Table[[#This Row],[price]]</f>
        <v>4.915413679398023E-2</v>
      </c>
    </row>
    <row r="387" spans="1:6" hidden="1" x14ac:dyDescent="0.2">
      <c r="A387" t="s">
        <v>5</v>
      </c>
      <c r="B387" t="s">
        <v>391</v>
      </c>
      <c r="C387">
        <v>21.659947316580951</v>
      </c>
      <c r="D387">
        <v>188.87474060058591</v>
      </c>
      <c r="E387">
        <v>174.6920471191406</v>
      </c>
      <c r="F387">
        <f>(Table[[#This Row],[price_lag]] - Table[[#This Row],[price]]) / Table[[#This Row],[price]]</f>
        <v>-7.5090472322275767E-2</v>
      </c>
    </row>
    <row r="388" spans="1:6" hidden="1" x14ac:dyDescent="0.2">
      <c r="A388" t="s">
        <v>5</v>
      </c>
      <c r="B388" t="s">
        <v>392</v>
      </c>
      <c r="C388">
        <v>23.065496123997509</v>
      </c>
      <c r="D388">
        <v>312.76812744140619</v>
      </c>
      <c r="E388">
        <v>358.66000366210938</v>
      </c>
      <c r="F388">
        <f>(Table[[#This Row],[price_lag]] - Table[[#This Row],[price]]) / Table[[#This Row],[price]]</f>
        <v>0.14672811004152123</v>
      </c>
    </row>
    <row r="389" spans="1:6" hidden="1" x14ac:dyDescent="0.2">
      <c r="A389" t="s">
        <v>5</v>
      </c>
      <c r="B389" t="s">
        <v>393</v>
      </c>
      <c r="C389">
        <v>14.151922546991029</v>
      </c>
      <c r="D389">
        <v>171.52130126953119</v>
      </c>
      <c r="E389">
        <v>162.00341796875</v>
      </c>
      <c r="F389">
        <f>(Table[[#This Row],[price_lag]] - Table[[#This Row],[price]]) / Table[[#This Row],[price]]</f>
        <v>-5.5490969520016913E-2</v>
      </c>
    </row>
    <row r="390" spans="1:6" hidden="1" x14ac:dyDescent="0.2">
      <c r="A390" t="s">
        <v>5</v>
      </c>
      <c r="B390" t="s">
        <v>394</v>
      </c>
      <c r="C390">
        <v>29.13833298049607</v>
      </c>
      <c r="D390">
        <v>166.6712646484375</v>
      </c>
      <c r="E390">
        <v>184.00999450683591</v>
      </c>
      <c r="F390">
        <f>(Table[[#This Row],[price_lag]] - Table[[#This Row],[price]]) / Table[[#This Row],[price]]</f>
        <v>0.10402950919566899</v>
      </c>
    </row>
    <row r="391" spans="1:6" hidden="1" x14ac:dyDescent="0.2">
      <c r="A391" t="s">
        <v>5</v>
      </c>
      <c r="B391" t="s">
        <v>395</v>
      </c>
      <c r="C391">
        <v>42.620966775076731</v>
      </c>
      <c r="D391">
        <v>59.669353485107422</v>
      </c>
      <c r="E391">
        <v>56.759998321533203</v>
      </c>
      <c r="F391">
        <f>(Table[[#This Row],[price_lag]] - Table[[#This Row],[price]]) / Table[[#This Row],[price]]</f>
        <v>-4.8757946812685853E-2</v>
      </c>
    </row>
    <row r="392" spans="1:6" hidden="1" x14ac:dyDescent="0.2">
      <c r="A392" t="s">
        <v>5</v>
      </c>
      <c r="B392" t="s">
        <v>396</v>
      </c>
      <c r="C392">
        <v>30.911080317188301</v>
      </c>
      <c r="D392">
        <v>72.087730407714844</v>
      </c>
      <c r="E392">
        <v>69.599998474121094</v>
      </c>
      <c r="F392">
        <f>(Table[[#This Row],[price_lag]] - Table[[#This Row],[price]]) / Table[[#This Row],[price]]</f>
        <v>-3.4509783003620717E-2</v>
      </c>
    </row>
    <row r="393" spans="1:6" hidden="1" x14ac:dyDescent="0.2">
      <c r="A393" t="s">
        <v>5</v>
      </c>
      <c r="B393" t="s">
        <v>397</v>
      </c>
      <c r="C393">
        <v>9.9639091193887506</v>
      </c>
      <c r="D393">
        <v>561.56591796875</v>
      </c>
      <c r="E393">
        <v>773.94000244140625</v>
      </c>
      <c r="F393">
        <f>(Table[[#This Row],[price_lag]] - Table[[#This Row],[price]]) / Table[[#This Row],[price]]</f>
        <v>0.37818193319288018</v>
      </c>
    </row>
    <row r="394" spans="1:6" hidden="1" x14ac:dyDescent="0.2">
      <c r="A394" t="s">
        <v>5</v>
      </c>
      <c r="B394" t="s">
        <v>398</v>
      </c>
      <c r="C394">
        <v>10.52234711185578</v>
      </c>
      <c r="D394">
        <v>26.09542083740234</v>
      </c>
      <c r="E394">
        <v>27.319999694824219</v>
      </c>
      <c r="F394">
        <f>(Table[[#This Row],[price_lag]] - Table[[#This Row],[price]]) / Table[[#This Row],[price]]</f>
        <v>4.6926963356984853E-2</v>
      </c>
    </row>
    <row r="395" spans="1:6" hidden="1" x14ac:dyDescent="0.2">
      <c r="A395" t="s">
        <v>5</v>
      </c>
      <c r="B395" t="s">
        <v>399</v>
      </c>
      <c r="C395">
        <v>32.411089810458087</v>
      </c>
      <c r="D395">
        <v>228.174072265625</v>
      </c>
      <c r="E395">
        <v>214.05686950683591</v>
      </c>
      <c r="F395">
        <f>(Table[[#This Row],[price_lag]] - Table[[#This Row],[price]]) / Table[[#This Row],[price]]</f>
        <v>-6.187031952672864E-2</v>
      </c>
    </row>
    <row r="396" spans="1:6" hidden="1" x14ac:dyDescent="0.2">
      <c r="A396" t="s">
        <v>5</v>
      </c>
      <c r="B396" t="s">
        <v>400</v>
      </c>
      <c r="C396">
        <v>28.684923829150801</v>
      </c>
      <c r="D396">
        <v>273.08047485351562</v>
      </c>
      <c r="E396">
        <v>243.08000183105469</v>
      </c>
      <c r="F396">
        <f>(Table[[#This Row],[price_lag]] - Table[[#This Row],[price]]) / Table[[#This Row],[price]]</f>
        <v>-0.1098594582368206</v>
      </c>
    </row>
    <row r="397" spans="1:6" hidden="1" x14ac:dyDescent="0.2">
      <c r="A397" t="s">
        <v>5</v>
      </c>
      <c r="B397" t="s">
        <v>401</v>
      </c>
      <c r="C397">
        <v>53.487711694961327</v>
      </c>
      <c r="D397">
        <v>87.531570434570312</v>
      </c>
      <c r="E397">
        <v>97.370864868164062</v>
      </c>
      <c r="F397">
        <f>(Table[[#This Row],[price_lag]] - Table[[#This Row],[price]]) / Table[[#This Row],[price]]</f>
        <v>0.11240852168816741</v>
      </c>
    </row>
    <row r="398" spans="1:6" hidden="1" x14ac:dyDescent="0.2">
      <c r="A398" t="s">
        <v>5</v>
      </c>
      <c r="B398" t="s">
        <v>402</v>
      </c>
      <c r="C398">
        <v>70.933704233905601</v>
      </c>
      <c r="D398">
        <v>348.25100708007812</v>
      </c>
      <c r="E398">
        <v>393.67999267578119</v>
      </c>
      <c r="F398">
        <f>(Table[[#This Row],[price_lag]] - Table[[#This Row],[price]]) / Table[[#This Row],[price]]</f>
        <v>0.13044897120787638</v>
      </c>
    </row>
    <row r="399" spans="1:6" hidden="1" x14ac:dyDescent="0.2">
      <c r="A399" t="s">
        <v>5</v>
      </c>
      <c r="B399" t="s">
        <v>403</v>
      </c>
      <c r="C399">
        <v>43.056319741641772</v>
      </c>
      <c r="D399">
        <v>58.556594848632812</v>
      </c>
      <c r="E399">
        <v>60.430000305175781</v>
      </c>
      <c r="F399">
        <f>(Table[[#This Row],[price_lag]] - Table[[#This Row],[price]]) / Table[[#This Row],[price]]</f>
        <v>3.1993073732953056E-2</v>
      </c>
    </row>
    <row r="400" spans="1:6" hidden="1" x14ac:dyDescent="0.2">
      <c r="A400" t="s">
        <v>5</v>
      </c>
      <c r="B400" t="s">
        <v>404</v>
      </c>
      <c r="C400">
        <v>33.570634996568828</v>
      </c>
      <c r="D400">
        <v>496.84539794921881</v>
      </c>
      <c r="E400">
        <v>449.15988159179688</v>
      </c>
      <c r="F400">
        <f>(Table[[#This Row],[price_lag]] - Table[[#This Row],[price]]) / Table[[#This Row],[price]]</f>
        <v>-9.5976568474315904E-2</v>
      </c>
    </row>
    <row r="401" spans="1:6" hidden="1" x14ac:dyDescent="0.2">
      <c r="A401" t="s">
        <v>5</v>
      </c>
      <c r="B401" t="s">
        <v>405</v>
      </c>
      <c r="C401">
        <v>23.906232725899169</v>
      </c>
      <c r="D401">
        <v>152.04364013671881</v>
      </c>
      <c r="E401">
        <v>181.44999694824219</v>
      </c>
      <c r="F401">
        <f>(Table[[#This Row],[price_lag]] - Table[[#This Row],[price]]) / Table[[#This Row],[price]]</f>
        <v>0.19340734531928438</v>
      </c>
    </row>
    <row r="402" spans="1:6" hidden="1" x14ac:dyDescent="0.2">
      <c r="A402" t="s">
        <v>5</v>
      </c>
      <c r="B402" t="s">
        <v>406</v>
      </c>
      <c r="C402">
        <v>13.92399947672104</v>
      </c>
      <c r="D402">
        <v>322.47982788085938</v>
      </c>
      <c r="E402">
        <v>281.70001220703119</v>
      </c>
      <c r="F402">
        <f>(Table[[#This Row],[price_lag]] - Table[[#This Row],[price]]) / Table[[#This Row],[price]]</f>
        <v>-0.12645695063101542</v>
      </c>
    </row>
    <row r="403" spans="1:6" hidden="1" x14ac:dyDescent="0.2">
      <c r="A403" t="s">
        <v>5</v>
      </c>
      <c r="B403" t="s">
        <v>407</v>
      </c>
      <c r="C403">
        <v>31.460812425366338</v>
      </c>
      <c r="D403">
        <v>485.75494384765619</v>
      </c>
      <c r="E403">
        <v>527.69000244140625</v>
      </c>
      <c r="F403">
        <f>(Table[[#This Row],[price_lag]] - Table[[#This Row],[price]]) / Table[[#This Row],[price]]</f>
        <v>8.6329658863753836E-2</v>
      </c>
    </row>
    <row r="404" spans="1:6" hidden="1" x14ac:dyDescent="0.2">
      <c r="A404" t="s">
        <v>5</v>
      </c>
      <c r="B404" t="s">
        <v>408</v>
      </c>
      <c r="C404">
        <v>26.88841733065518</v>
      </c>
      <c r="D404">
        <v>236.6180725097656</v>
      </c>
      <c r="E404">
        <v>265.92001342773438</v>
      </c>
      <c r="F404">
        <f>(Table[[#This Row],[price_lag]] - Table[[#This Row],[price]]) / Table[[#This Row],[price]]</f>
        <v>0.12383644498143498</v>
      </c>
    </row>
    <row r="405" spans="1:6" hidden="1" x14ac:dyDescent="0.2">
      <c r="A405" t="s">
        <v>5</v>
      </c>
      <c r="B405" t="s">
        <v>409</v>
      </c>
      <c r="C405">
        <v>21.75176283892463</v>
      </c>
      <c r="D405">
        <v>192.28558349609381</v>
      </c>
      <c r="E405">
        <v>194.75999450683591</v>
      </c>
      <c r="F405">
        <f>(Table[[#This Row],[price_lag]] - Table[[#This Row],[price]]) / Table[[#This Row],[price]]</f>
        <v>1.2868416683939119E-2</v>
      </c>
    </row>
    <row r="406" spans="1:6" hidden="1" x14ac:dyDescent="0.2">
      <c r="A406" t="s">
        <v>5</v>
      </c>
      <c r="B406" t="s">
        <v>410</v>
      </c>
      <c r="C406">
        <v>16.969557536039421</v>
      </c>
      <c r="D406">
        <v>34.100597381591797</v>
      </c>
      <c r="E406">
        <v>38.549999237060547</v>
      </c>
      <c r="F406">
        <f>(Table[[#This Row],[price_lag]] - Table[[#This Row],[price]]) / Table[[#This Row],[price]]</f>
        <v>0.13047870703492803</v>
      </c>
    </row>
    <row r="407" spans="1:6" hidden="1" x14ac:dyDescent="0.2">
      <c r="A407" t="s">
        <v>5</v>
      </c>
      <c r="B407" t="s">
        <v>411</v>
      </c>
      <c r="C407">
        <v>22.814175509667209</v>
      </c>
      <c r="D407">
        <v>235.4422912597656</v>
      </c>
      <c r="E407">
        <v>280.07998657226562</v>
      </c>
      <c r="F407">
        <f>(Table[[#This Row],[price_lag]] - Table[[#This Row],[price]]) / Table[[#This Row],[price]]</f>
        <v>0.18959081256668053</v>
      </c>
    </row>
    <row r="408" spans="1:6" hidden="1" x14ac:dyDescent="0.2">
      <c r="A408" t="s">
        <v>5</v>
      </c>
      <c r="B408" t="s">
        <v>412</v>
      </c>
      <c r="C408">
        <v>184.7668488820394</v>
      </c>
      <c r="D408">
        <v>88.688087463378906</v>
      </c>
      <c r="E408">
        <v>89.089996337890625</v>
      </c>
      <c r="F408">
        <f>(Table[[#This Row],[price_lag]] - Table[[#This Row],[price]]) / Table[[#This Row],[price]]</f>
        <v>4.5317120484492917E-3</v>
      </c>
    </row>
    <row r="409" spans="1:6" hidden="1" x14ac:dyDescent="0.2">
      <c r="A409" t="s">
        <v>5</v>
      </c>
      <c r="B409" t="s">
        <v>413</v>
      </c>
      <c r="C409">
        <v>95.0702478077786</v>
      </c>
      <c r="D409">
        <v>184.0559997558594</v>
      </c>
      <c r="E409">
        <v>154.22999572753909</v>
      </c>
      <c r="F409">
        <f>(Table[[#This Row],[price_lag]] - Table[[#This Row],[price]]) / Table[[#This Row],[price]]</f>
        <v>-0.16204852907747064</v>
      </c>
    </row>
    <row r="410" spans="1:6" hidden="1" x14ac:dyDescent="0.2">
      <c r="A410" t="s">
        <v>5</v>
      </c>
      <c r="B410" t="s">
        <v>414</v>
      </c>
      <c r="C410">
        <v>25.551235040969399</v>
      </c>
      <c r="D410">
        <v>345.45269775390619</v>
      </c>
      <c r="E410">
        <v>326.16000366210938</v>
      </c>
      <c r="F410">
        <f>(Table[[#This Row],[price_lag]] - Table[[#This Row],[price]]) / Table[[#This Row],[price]]</f>
        <v>-5.5847571077706736E-2</v>
      </c>
    </row>
    <row r="411" spans="1:6" hidden="1" x14ac:dyDescent="0.2">
      <c r="A411" t="s">
        <v>5</v>
      </c>
      <c r="B411" t="s">
        <v>415</v>
      </c>
      <c r="C411">
        <v>24.91795119418893</v>
      </c>
      <c r="D411">
        <v>185.3895568847656</v>
      </c>
      <c r="E411">
        <v>186.83000183105469</v>
      </c>
      <c r="F411">
        <f>(Table[[#This Row],[price_lag]] - Table[[#This Row],[price]]) / Table[[#This Row],[price]]</f>
        <v>7.7698278721516252E-3</v>
      </c>
    </row>
    <row r="412" spans="1:6" hidden="1" x14ac:dyDescent="0.2">
      <c r="A412" t="s">
        <v>5</v>
      </c>
      <c r="B412" t="s">
        <v>416</v>
      </c>
      <c r="C412">
        <v>20.03017023990029</v>
      </c>
      <c r="D412">
        <v>76.114646911621094</v>
      </c>
      <c r="E412">
        <v>64.459999084472656</v>
      </c>
      <c r="F412">
        <f>(Table[[#This Row],[price_lag]] - Table[[#This Row],[price]]) / Table[[#This Row],[price]]</f>
        <v>-0.15311964648119547</v>
      </c>
    </row>
    <row r="413" spans="1:6" hidden="1" x14ac:dyDescent="0.2">
      <c r="A413" t="s">
        <v>5</v>
      </c>
      <c r="B413" t="s">
        <v>417</v>
      </c>
      <c r="C413">
        <v>11.89346819852306</v>
      </c>
      <c r="D413">
        <v>107.51695251464839</v>
      </c>
      <c r="E413">
        <v>98.419998168945312</v>
      </c>
      <c r="F413">
        <f>(Table[[#This Row],[price_lag]] - Table[[#This Row],[price]]) / Table[[#This Row],[price]]</f>
        <v>-8.4609488391737001E-2</v>
      </c>
    </row>
    <row r="414" spans="1:6" hidden="1" x14ac:dyDescent="0.2">
      <c r="A414" t="s">
        <v>5</v>
      </c>
      <c r="B414" t="s">
        <v>418</v>
      </c>
      <c r="C414">
        <v>22.643616858949049</v>
      </c>
      <c r="D414">
        <v>42.569999694824219</v>
      </c>
      <c r="E414">
        <v>38.840000152587891</v>
      </c>
      <c r="F414">
        <f>(Table[[#This Row],[price_lag]] - Table[[#This Row],[price]]) / Table[[#This Row],[price]]</f>
        <v>-8.7620379820905467E-2</v>
      </c>
    </row>
    <row r="415" spans="1:6" hidden="1" x14ac:dyDescent="0.2">
      <c r="A415" t="s">
        <v>5</v>
      </c>
      <c r="B415" t="s">
        <v>419</v>
      </c>
      <c r="C415">
        <v>16.89475458591064</v>
      </c>
      <c r="D415">
        <v>343.97720336914062</v>
      </c>
      <c r="E415">
        <v>349.67001342773438</v>
      </c>
      <c r="F415">
        <f>(Table[[#This Row],[price_lag]] - Table[[#This Row],[price]]) / Table[[#This Row],[price]]</f>
        <v>1.6549963203475685E-2</v>
      </c>
    </row>
    <row r="416" spans="1:6" hidden="1" x14ac:dyDescent="0.2">
      <c r="A416" t="s">
        <v>5</v>
      </c>
      <c r="B416" t="s">
        <v>420</v>
      </c>
      <c r="C416">
        <v>2.5137741046831961</v>
      </c>
      <c r="D416">
        <v>73</v>
      </c>
      <c r="E416">
        <v>80.160003662109375</v>
      </c>
      <c r="F416">
        <f>(Table[[#This Row],[price_lag]] - Table[[#This Row],[price]]) / Table[[#This Row],[price]]</f>
        <v>9.8082241946703771E-2</v>
      </c>
    </row>
    <row r="417" spans="1:6" hidden="1" x14ac:dyDescent="0.2">
      <c r="A417" t="s">
        <v>5</v>
      </c>
      <c r="B417" t="s">
        <v>421</v>
      </c>
      <c r="C417">
        <v>15.16075872605847</v>
      </c>
      <c r="D417">
        <v>93.9967041015625</v>
      </c>
      <c r="E417">
        <v>87.569999694824219</v>
      </c>
      <c r="F417">
        <f>(Table[[#This Row],[price_lag]] - Table[[#This Row],[price]]) / Table[[#This Row],[price]]</f>
        <v>-6.8371593112395643E-2</v>
      </c>
    </row>
    <row r="418" spans="1:6" hidden="1" x14ac:dyDescent="0.2">
      <c r="A418" t="s">
        <v>5</v>
      </c>
      <c r="B418" t="s">
        <v>422</v>
      </c>
      <c r="C418">
        <v>79.428820610046387</v>
      </c>
      <c r="D418">
        <v>31.771528244018551</v>
      </c>
      <c r="E418">
        <v>41.270000457763672</v>
      </c>
      <c r="F418">
        <f>(Table[[#This Row],[price_lag]] - Table[[#This Row],[price]]) / Table[[#This Row],[price]]</f>
        <v>0.29896176667338453</v>
      </c>
    </row>
    <row r="419" spans="1:6" hidden="1" x14ac:dyDescent="0.2">
      <c r="A419" t="s">
        <v>5</v>
      </c>
      <c r="B419" t="s">
        <v>423</v>
      </c>
      <c r="C419">
        <v>54.020141152774578</v>
      </c>
      <c r="D419">
        <v>73.467391967773438</v>
      </c>
      <c r="E419">
        <v>75.19000244140625</v>
      </c>
      <c r="F419">
        <f>(Table[[#This Row],[price_lag]] - Table[[#This Row],[price]]) / Table[[#This Row],[price]]</f>
        <v>2.344727950038621E-2</v>
      </c>
    </row>
    <row r="420" spans="1:6" hidden="1" x14ac:dyDescent="0.2">
      <c r="A420" t="s">
        <v>5</v>
      </c>
      <c r="B420" t="s">
        <v>424</v>
      </c>
      <c r="C420">
        <v>179.36072916060519</v>
      </c>
      <c r="D420">
        <v>83.993194580078125</v>
      </c>
      <c r="E420">
        <v>85.25</v>
      </c>
      <c r="F420">
        <f>(Table[[#This Row],[price_lag]] - Table[[#This Row],[price]]) / Table[[#This Row],[price]]</f>
        <v>1.4963181555425321E-2</v>
      </c>
    </row>
    <row r="421" spans="1:6" hidden="1" x14ac:dyDescent="0.2">
      <c r="A421" t="s">
        <v>5</v>
      </c>
      <c r="B421" t="s">
        <v>425</v>
      </c>
      <c r="C421">
        <v>10.10778379945789</v>
      </c>
      <c r="D421">
        <v>114.4201126098633</v>
      </c>
      <c r="E421">
        <v>129.4913330078125</v>
      </c>
      <c r="F421">
        <f>(Table[[#This Row],[price_lag]] - Table[[#This Row],[price]]) / Table[[#This Row],[price]]</f>
        <v>0.13171827971658567</v>
      </c>
    </row>
    <row r="422" spans="1:6" hidden="1" x14ac:dyDescent="0.2">
      <c r="A422" t="s">
        <v>5</v>
      </c>
      <c r="B422" t="s">
        <v>426</v>
      </c>
      <c r="C422">
        <v>12.63839721679688</v>
      </c>
      <c r="D422">
        <v>139.0223693847656</v>
      </c>
      <c r="E422">
        <v>170.5299987792969</v>
      </c>
      <c r="F422">
        <f>(Table[[#This Row],[price_lag]] - Table[[#This Row],[price]]) / Table[[#This Row],[price]]</f>
        <v>0.22663711986758864</v>
      </c>
    </row>
    <row r="423" spans="1:6" hidden="1" x14ac:dyDescent="0.2">
      <c r="A423" t="s">
        <v>5</v>
      </c>
      <c r="B423" t="s">
        <v>427</v>
      </c>
      <c r="C423">
        <v>31.723077236077721</v>
      </c>
      <c r="D423">
        <v>247.44000244140619</v>
      </c>
      <c r="E423">
        <v>255.4700012207031</v>
      </c>
      <c r="F423">
        <f>(Table[[#This Row],[price_lag]] - Table[[#This Row],[price]]) / Table[[#This Row],[price]]</f>
        <v>3.2452306417990795E-2</v>
      </c>
    </row>
    <row r="424" spans="1:6" hidden="1" x14ac:dyDescent="0.2">
      <c r="A424" t="s">
        <v>5</v>
      </c>
      <c r="B424" t="s">
        <v>428</v>
      </c>
      <c r="C424">
        <v>40.972374810112854</v>
      </c>
      <c r="D424">
        <v>368.75137329101562</v>
      </c>
      <c r="E424">
        <v>353.239990234375</v>
      </c>
      <c r="F424">
        <f>(Table[[#This Row],[price_lag]] - Table[[#This Row],[price]]) / Table[[#This Row],[price]]</f>
        <v>-4.2064610955086984E-2</v>
      </c>
    </row>
    <row r="425" spans="1:6" hidden="1" x14ac:dyDescent="0.2">
      <c r="A425" t="s">
        <v>5</v>
      </c>
      <c r="B425" t="s">
        <v>429</v>
      </c>
      <c r="C425">
        <v>42.803570202418733</v>
      </c>
      <c r="D425">
        <v>47.939998626708977</v>
      </c>
      <c r="E425">
        <v>29.64999961853027</v>
      </c>
      <c r="F425">
        <f>(Table[[#This Row],[price_lag]] - Table[[#This Row],[price]]) / Table[[#This Row],[price]]</f>
        <v>-0.38151855511294774</v>
      </c>
    </row>
    <row r="426" spans="1:6" hidden="1" x14ac:dyDescent="0.2">
      <c r="A426" t="s">
        <v>5</v>
      </c>
      <c r="B426" t="s">
        <v>430</v>
      </c>
      <c r="C426">
        <v>6.1210394730617432</v>
      </c>
      <c r="D426">
        <v>70.75921630859375</v>
      </c>
      <c r="E426">
        <v>84.30999755859375</v>
      </c>
      <c r="F426">
        <f>(Table[[#This Row],[price_lag]] - Table[[#This Row],[price]]) / Table[[#This Row],[price]]</f>
        <v>0.19150553040189974</v>
      </c>
    </row>
    <row r="427" spans="1:6" hidden="1" x14ac:dyDescent="0.2">
      <c r="A427" t="s">
        <v>5</v>
      </c>
      <c r="B427" t="s">
        <v>431</v>
      </c>
      <c r="C427">
        <v>50.97004283558239</v>
      </c>
      <c r="D427">
        <v>493.3900146484375</v>
      </c>
      <c r="E427">
        <v>474.489990234375</v>
      </c>
      <c r="F427">
        <f>(Table[[#This Row],[price_lag]] - Table[[#This Row],[price]]) / Table[[#This Row],[price]]</f>
        <v>-3.8306459095102711E-2</v>
      </c>
    </row>
    <row r="428" spans="1:6" hidden="1" x14ac:dyDescent="0.2">
      <c r="A428" t="s">
        <v>5</v>
      </c>
      <c r="B428" t="s">
        <v>432</v>
      </c>
      <c r="C428">
        <v>20.506706623115921</v>
      </c>
      <c r="D428">
        <v>81.206558227539062</v>
      </c>
      <c r="E428">
        <v>73.656257629394531</v>
      </c>
      <c r="F428">
        <f>(Table[[#This Row],[price_lag]] - Table[[#This Row],[price]]) / Table[[#This Row],[price]]</f>
        <v>-9.2976488142604785E-2</v>
      </c>
    </row>
    <row r="429" spans="1:6" hidden="1" x14ac:dyDescent="0.2">
      <c r="A429" t="s">
        <v>5</v>
      </c>
      <c r="B429" t="s">
        <v>433</v>
      </c>
      <c r="C429">
        <v>24.607426667016401</v>
      </c>
      <c r="D429">
        <v>238.19989013671881</v>
      </c>
      <c r="E429">
        <v>203.80000305175781</v>
      </c>
      <c r="F429">
        <f>(Table[[#This Row],[price_lag]] - Table[[#This Row],[price]]) / Table[[#This Row],[price]]</f>
        <v>-0.14441604933241828</v>
      </c>
    </row>
    <row r="430" spans="1:6" hidden="1" x14ac:dyDescent="0.2">
      <c r="A430" t="s">
        <v>5</v>
      </c>
      <c r="B430" t="s">
        <v>434</v>
      </c>
      <c r="C430">
        <v>8.8018543190426293</v>
      </c>
      <c r="D430">
        <v>101.39736175537109</v>
      </c>
      <c r="E430">
        <v>103.63999938964839</v>
      </c>
      <c r="F430">
        <f>(Table[[#This Row],[price_lag]] - Table[[#This Row],[price]]) / Table[[#This Row],[price]]</f>
        <v>2.211731740799959E-2</v>
      </c>
    </row>
    <row r="431" spans="1:6" hidden="1" x14ac:dyDescent="0.2">
      <c r="A431" t="s">
        <v>5</v>
      </c>
      <c r="B431" t="s">
        <v>435</v>
      </c>
      <c r="C431">
        <v>0</v>
      </c>
      <c r="D431">
        <v>258.3599853515625</v>
      </c>
      <c r="E431">
        <v>257.91000366210938</v>
      </c>
      <c r="F431">
        <f>(Table[[#This Row],[price_lag]] - Table[[#This Row],[price]]) / Table[[#This Row],[price]]</f>
        <v>-1.7416849162644667E-3</v>
      </c>
    </row>
    <row r="432" spans="1:6" hidden="1" x14ac:dyDescent="0.2">
      <c r="A432" t="s">
        <v>5</v>
      </c>
      <c r="B432" t="s">
        <v>436</v>
      </c>
      <c r="C432">
        <v>21.3686365069765</v>
      </c>
      <c r="D432">
        <v>112.82640075683589</v>
      </c>
      <c r="E432">
        <v>129.5299987792969</v>
      </c>
      <c r="F432">
        <f>(Table[[#This Row],[price_lag]] - Table[[#This Row],[price]]) / Table[[#This Row],[price]]</f>
        <v>0.14804689248627809</v>
      </c>
    </row>
    <row r="433" spans="1:6" hidden="1" x14ac:dyDescent="0.2">
      <c r="A433" t="s">
        <v>5</v>
      </c>
      <c r="B433" t="s">
        <v>437</v>
      </c>
      <c r="C433">
        <v>18.827405558452352</v>
      </c>
      <c r="D433">
        <v>166.43426513671881</v>
      </c>
      <c r="E433">
        <v>185.63999938964841</v>
      </c>
      <c r="F433">
        <f>(Table[[#This Row],[price_lag]] - Table[[#This Row],[price]]) / Table[[#This Row],[price]]</f>
        <v>0.11539531380243662</v>
      </c>
    </row>
    <row r="434" spans="1:6" hidden="1" x14ac:dyDescent="0.2">
      <c r="A434" t="s">
        <v>5</v>
      </c>
      <c r="B434" t="s">
        <v>438</v>
      </c>
      <c r="C434">
        <v>14.569637649937681</v>
      </c>
      <c r="D434">
        <v>88.583396911621094</v>
      </c>
      <c r="E434">
        <v>97.430000305175781</v>
      </c>
      <c r="F434">
        <f>(Table[[#This Row],[price_lag]] - Table[[#This Row],[price]]) / Table[[#This Row],[price]]</f>
        <v>9.98675113168314E-2</v>
      </c>
    </row>
    <row r="435" spans="1:6" hidden="1" x14ac:dyDescent="0.2">
      <c r="A435" t="s">
        <v>5</v>
      </c>
      <c r="B435" t="s">
        <v>439</v>
      </c>
      <c r="C435">
        <v>24.392222086588539</v>
      </c>
      <c r="D435">
        <v>219.5299987792969</v>
      </c>
      <c r="E435">
        <v>230.3800048828125</v>
      </c>
      <c r="F435">
        <f>(Table[[#This Row],[price_lag]] - Table[[#This Row],[price]]) / Table[[#This Row],[price]]</f>
        <v>4.9423797038433831E-2</v>
      </c>
    </row>
    <row r="436" spans="1:6" hidden="1" x14ac:dyDescent="0.2">
      <c r="A436" t="s">
        <v>5</v>
      </c>
      <c r="B436" t="s">
        <v>440</v>
      </c>
      <c r="C436">
        <v>31.16756465112492</v>
      </c>
      <c r="D436">
        <v>586.03997802734375</v>
      </c>
      <c r="E436">
        <v>518</v>
      </c>
      <c r="F436">
        <f>(Table[[#This Row],[price_lag]] - Table[[#This Row],[price]]) / Table[[#This Row],[price]]</f>
        <v>-0.11610125687392799</v>
      </c>
    </row>
    <row r="437" spans="1:6" hidden="1" x14ac:dyDescent="0.2">
      <c r="A437" t="s">
        <v>5</v>
      </c>
      <c r="B437" t="s">
        <v>441</v>
      </c>
      <c r="C437">
        <v>45.845352172851562</v>
      </c>
      <c r="D437">
        <v>137.53605651855469</v>
      </c>
      <c r="E437">
        <v>196.66999816894531</v>
      </c>
      <c r="F437">
        <f>(Table[[#This Row],[price_lag]] - Table[[#This Row],[price]]) / Table[[#This Row],[price]]</f>
        <v>0.42995228413003828</v>
      </c>
    </row>
    <row r="438" spans="1:6" hidden="1" x14ac:dyDescent="0.2">
      <c r="A438" t="s">
        <v>5</v>
      </c>
      <c r="B438" t="s">
        <v>442</v>
      </c>
      <c r="C438">
        <v>258.55814024459482</v>
      </c>
      <c r="D438">
        <v>444.72000122070312</v>
      </c>
      <c r="E438">
        <v>454.42999267578119</v>
      </c>
      <c r="F438">
        <f>(Table[[#This Row],[price_lag]] - Table[[#This Row],[price]]) / Table[[#This Row],[price]]</f>
        <v>2.1833943668882229E-2</v>
      </c>
    </row>
    <row r="439" spans="1:6" hidden="1" x14ac:dyDescent="0.2">
      <c r="A439" t="s">
        <v>5</v>
      </c>
      <c r="B439" t="s">
        <v>443</v>
      </c>
      <c r="C439">
        <v>30.339636880051529</v>
      </c>
      <c r="D439">
        <v>182.10456848144531</v>
      </c>
      <c r="E439">
        <v>175.41999816894531</v>
      </c>
      <c r="F439">
        <f>(Table[[#This Row],[price_lag]] - Table[[#This Row],[price]]) / Table[[#This Row],[price]]</f>
        <v>-3.670731804392427E-2</v>
      </c>
    </row>
    <row r="440" spans="1:6" hidden="1" x14ac:dyDescent="0.2">
      <c r="A440" t="s">
        <v>5</v>
      </c>
      <c r="B440" t="s">
        <v>444</v>
      </c>
      <c r="C440">
        <v>44.208322782754223</v>
      </c>
      <c r="D440">
        <v>310.63720703125</v>
      </c>
      <c r="E440">
        <v>292.67999267578119</v>
      </c>
      <c r="F440">
        <f>(Table[[#This Row],[price_lag]] - Table[[#This Row],[price]]) / Table[[#This Row],[price]]</f>
        <v>-5.7807673868450399E-2</v>
      </c>
    </row>
    <row r="441" spans="1:6" hidden="1" x14ac:dyDescent="0.2">
      <c r="A441" t="s">
        <v>5</v>
      </c>
      <c r="B441" t="s">
        <v>445</v>
      </c>
      <c r="C441">
        <v>16.12033261597611</v>
      </c>
      <c r="D441">
        <v>84.470542907714844</v>
      </c>
      <c r="E441">
        <v>88.339996337890625</v>
      </c>
      <c r="F441">
        <f>(Table[[#This Row],[price_lag]] - Table[[#This Row],[price]]) / Table[[#This Row],[price]]</f>
        <v>4.5808317278168899E-2</v>
      </c>
    </row>
    <row r="442" spans="1:6" hidden="1" x14ac:dyDescent="0.2">
      <c r="A442" t="s">
        <v>5</v>
      </c>
      <c r="B442" t="s">
        <v>446</v>
      </c>
      <c r="C442">
        <v>28.309319398113502</v>
      </c>
      <c r="D442">
        <v>484.65554809570312</v>
      </c>
      <c r="E442">
        <v>583.45001220703125</v>
      </c>
      <c r="F442">
        <f>(Table[[#This Row],[price_lag]] - Table[[#This Row],[price]]) / Table[[#This Row],[price]]</f>
        <v>0.20384469856892992</v>
      </c>
    </row>
    <row r="443" spans="1:6" hidden="1" x14ac:dyDescent="0.2">
      <c r="A443" t="s">
        <v>5</v>
      </c>
      <c r="B443" t="s">
        <v>447</v>
      </c>
      <c r="C443">
        <v>27.80877795725576</v>
      </c>
      <c r="D443">
        <v>144.12388610839841</v>
      </c>
      <c r="E443">
        <v>155.3500061035156</v>
      </c>
      <c r="F443">
        <f>(Table[[#This Row],[price_lag]] - Table[[#This Row],[price]]) / Table[[#This Row],[price]]</f>
        <v>7.7892154439090006E-2</v>
      </c>
    </row>
    <row r="444" spans="1:6" hidden="1" x14ac:dyDescent="0.2">
      <c r="A444" t="s">
        <v>5</v>
      </c>
      <c r="B444" t="s">
        <v>448</v>
      </c>
      <c r="C444">
        <v>100.6020889282227</v>
      </c>
      <c r="D444">
        <v>201.20417785644531</v>
      </c>
      <c r="E444">
        <v>214.16999816894531</v>
      </c>
      <c r="F444">
        <f>(Table[[#This Row],[price_lag]] - Table[[#This Row],[price]]) / Table[[#This Row],[price]]</f>
        <v>6.4441108781303852E-2</v>
      </c>
    </row>
    <row r="445" spans="1:6" hidden="1" x14ac:dyDescent="0.2">
      <c r="A445" t="s">
        <v>5</v>
      </c>
      <c r="B445" t="s">
        <v>449</v>
      </c>
      <c r="C445">
        <v>51.05208158493042</v>
      </c>
      <c r="D445">
        <v>49.009998321533203</v>
      </c>
      <c r="E445">
        <v>38.119998931884773</v>
      </c>
      <c r="F445">
        <f>(Table[[#This Row],[price_lag]] - Table[[#This Row],[price]]) / Table[[#This Row],[price]]</f>
        <v>-0.22219954626816957</v>
      </c>
    </row>
    <row r="446" spans="1:6" hidden="1" x14ac:dyDescent="0.2">
      <c r="A446" t="s">
        <v>5</v>
      </c>
      <c r="B446" t="s">
        <v>450</v>
      </c>
      <c r="C446">
        <v>28.889198692477478</v>
      </c>
      <c r="D446">
        <v>56.622829437255859</v>
      </c>
      <c r="E446">
        <v>50.360000610351562</v>
      </c>
      <c r="F446">
        <f>(Table[[#This Row],[price_lag]] - Table[[#This Row],[price]]) / Table[[#This Row],[price]]</f>
        <v>-0.11060607336558799</v>
      </c>
    </row>
    <row r="447" spans="1:6" hidden="1" x14ac:dyDescent="0.2">
      <c r="A447" t="s">
        <v>5</v>
      </c>
      <c r="B447" t="s">
        <v>451</v>
      </c>
      <c r="C447">
        <v>27.62951821174482</v>
      </c>
      <c r="D447">
        <v>421.95999145507812</v>
      </c>
      <c r="E447">
        <v>391.70999145507812</v>
      </c>
      <c r="F447">
        <f>(Table[[#This Row],[price_lag]] - Table[[#This Row],[price]]) / Table[[#This Row],[price]]</f>
        <v>-7.1689261097210952E-2</v>
      </c>
    </row>
    <row r="448" spans="1:6" hidden="1" x14ac:dyDescent="0.2">
      <c r="A448" t="s">
        <v>5</v>
      </c>
      <c r="B448" t="s">
        <v>452</v>
      </c>
      <c r="C448">
        <v>42.516774823588712</v>
      </c>
      <c r="D448">
        <v>1318.02001953125</v>
      </c>
      <c r="E448">
        <v>1316.449951171875</v>
      </c>
      <c r="F448">
        <f>(Table[[#This Row],[price_lag]] - Table[[#This Row],[price]]) / Table[[#This Row],[price]]</f>
        <v>-1.1912325580103026E-3</v>
      </c>
    </row>
    <row r="449" spans="1:6" hidden="1" x14ac:dyDescent="0.2">
      <c r="A449" t="s">
        <v>5</v>
      </c>
      <c r="B449" t="s">
        <v>453</v>
      </c>
      <c r="C449">
        <v>8.3070415464923091</v>
      </c>
      <c r="D449">
        <v>278.1197509765625</v>
      </c>
      <c r="E449">
        <v>292.3800048828125</v>
      </c>
      <c r="F449">
        <f>(Table[[#This Row],[price_lag]] - Table[[#This Row],[price]]) / Table[[#This Row],[price]]</f>
        <v>5.1273790718487047E-2</v>
      </c>
    </row>
    <row r="450" spans="1:6" hidden="1" x14ac:dyDescent="0.2">
      <c r="A450" t="s">
        <v>5</v>
      </c>
      <c r="B450" t="s">
        <v>454</v>
      </c>
      <c r="C450">
        <v>43.430851875467503</v>
      </c>
      <c r="D450">
        <v>81.650001525878906</v>
      </c>
      <c r="E450">
        <v>79.55999755859375</v>
      </c>
      <c r="F450">
        <f>(Table[[#This Row],[price_lag]] - Table[[#This Row],[price]]) / Table[[#This Row],[price]]</f>
        <v>-2.5597108735175358E-2</v>
      </c>
    </row>
    <row r="451" spans="1:6" hidden="1" x14ac:dyDescent="0.2">
      <c r="A451" t="s">
        <v>5</v>
      </c>
      <c r="B451" t="s">
        <v>455</v>
      </c>
      <c r="C451">
        <v>10.760839553106401</v>
      </c>
      <c r="D451">
        <v>45.195526123046882</v>
      </c>
      <c r="E451">
        <v>49.560001373291023</v>
      </c>
      <c r="F451">
        <f>(Table[[#This Row],[price_lag]] - Table[[#This Row],[price]]) / Table[[#This Row],[price]]</f>
        <v>9.6568745286019192E-2</v>
      </c>
    </row>
    <row r="452" spans="1:6" hidden="1" x14ac:dyDescent="0.2">
      <c r="A452" t="s">
        <v>5</v>
      </c>
      <c r="B452" t="s">
        <v>456</v>
      </c>
      <c r="C452">
        <v>66.729588411292255</v>
      </c>
      <c r="D452">
        <v>523.15997314453125</v>
      </c>
      <c r="E452">
        <v>458.1300048828125</v>
      </c>
      <c r="F452">
        <f>(Table[[#This Row],[price_lag]] - Table[[#This Row],[price]]) / Table[[#This Row],[price]]</f>
        <v>-0.12430226240521881</v>
      </c>
    </row>
    <row r="453" spans="1:6" hidden="1" x14ac:dyDescent="0.2">
      <c r="A453" t="s">
        <v>5</v>
      </c>
      <c r="B453" t="s">
        <v>457</v>
      </c>
      <c r="C453">
        <v>96.112401144845137</v>
      </c>
      <c r="D453">
        <v>53.822944641113281</v>
      </c>
      <c r="E453">
        <v>59.180000305175781</v>
      </c>
      <c r="F453">
        <f>(Table[[#This Row],[price_lag]] - Table[[#This Row],[price]]) / Table[[#This Row],[price]]</f>
        <v>9.9531077308810986E-2</v>
      </c>
    </row>
    <row r="454" spans="1:6" hidden="1" x14ac:dyDescent="0.2">
      <c r="A454" t="s">
        <v>5</v>
      </c>
      <c r="B454" t="s">
        <v>458</v>
      </c>
      <c r="C454">
        <v>9.8088647498459114</v>
      </c>
      <c r="D454">
        <v>47.867259979248047</v>
      </c>
      <c r="E454">
        <v>53.790000915527337</v>
      </c>
      <c r="F454">
        <f>(Table[[#This Row],[price_lag]] - Table[[#This Row],[price]]) / Table[[#This Row],[price]]</f>
        <v>0.12373260844357883</v>
      </c>
    </row>
    <row r="455" spans="1:6" hidden="1" x14ac:dyDescent="0.2">
      <c r="A455" t="s">
        <v>5</v>
      </c>
      <c r="B455" t="s">
        <v>459</v>
      </c>
      <c r="C455">
        <v>7.7020441211244588</v>
      </c>
      <c r="D455">
        <v>97.970001220703125</v>
      </c>
      <c r="E455">
        <v>82.120002746582031</v>
      </c>
      <c r="F455">
        <f>(Table[[#This Row],[price_lag]] - Table[[#This Row],[price]]) / Table[[#This Row],[price]]</f>
        <v>-0.16178420206829247</v>
      </c>
    </row>
    <row r="456" spans="1:6" hidden="1" x14ac:dyDescent="0.2">
      <c r="A456" t="s">
        <v>5</v>
      </c>
      <c r="B456" t="s">
        <v>460</v>
      </c>
      <c r="C456">
        <v>75.808421770731613</v>
      </c>
      <c r="D456">
        <v>36.388042449951172</v>
      </c>
      <c r="E456">
        <v>36.558013916015618</v>
      </c>
      <c r="F456">
        <f>(Table[[#This Row],[price_lag]] - Table[[#This Row],[price]]) / Table[[#This Row],[price]]</f>
        <v>4.6710802401153653E-3</v>
      </c>
    </row>
    <row r="457" spans="1:6" hidden="1" x14ac:dyDescent="0.2">
      <c r="A457" t="s">
        <v>5</v>
      </c>
      <c r="B457" t="s">
        <v>461</v>
      </c>
      <c r="C457">
        <v>26.489825581395351</v>
      </c>
      <c r="D457">
        <v>546.75</v>
      </c>
      <c r="E457">
        <v>606.8900146484375</v>
      </c>
      <c r="F457">
        <f>(Table[[#This Row],[price_lag]] - Table[[#This Row],[price]]) / Table[[#This Row],[price]]</f>
        <v>0.10999545431812986</v>
      </c>
    </row>
    <row r="458" spans="1:6" hidden="1" x14ac:dyDescent="0.2">
      <c r="A458" t="s">
        <v>5</v>
      </c>
      <c r="B458" t="s">
        <v>462</v>
      </c>
      <c r="C458">
        <v>19.453257124945029</v>
      </c>
      <c r="D458">
        <v>234.99534606933591</v>
      </c>
      <c r="E458">
        <v>233.05999755859381</v>
      </c>
      <c r="F458">
        <f>(Table[[#This Row],[price_lag]] - Table[[#This Row],[price]]) / Table[[#This Row],[price]]</f>
        <v>-8.2356886768773421E-3</v>
      </c>
    </row>
    <row r="459" spans="1:6" hidden="1" x14ac:dyDescent="0.2">
      <c r="A459" t="s">
        <v>5</v>
      </c>
      <c r="B459" t="s">
        <v>463</v>
      </c>
      <c r="C459">
        <v>8.2300441471508012</v>
      </c>
      <c r="D459">
        <v>96.5</v>
      </c>
      <c r="E459">
        <v>111.51999664306641</v>
      </c>
      <c r="F459">
        <f>(Table[[#This Row],[price_lag]] - Table[[#This Row],[price]]) / Table[[#This Row],[price]]</f>
        <v>0.15564763360690576</v>
      </c>
    </row>
    <row r="460" spans="1:6" hidden="1" x14ac:dyDescent="0.2">
      <c r="A460" t="s">
        <v>5</v>
      </c>
      <c r="B460" t="s">
        <v>464</v>
      </c>
      <c r="C460">
        <v>13.24237577376827</v>
      </c>
      <c r="D460">
        <v>82.102729797363281</v>
      </c>
      <c r="E460">
        <v>99.639999389648438</v>
      </c>
      <c r="F460">
        <f>(Table[[#This Row],[price_lag]] - Table[[#This Row],[price]]) / Table[[#This Row],[price]]</f>
        <v>0.21360154084484975</v>
      </c>
    </row>
    <row r="461" spans="1:6" hidden="1" x14ac:dyDescent="0.2">
      <c r="A461" t="s">
        <v>5</v>
      </c>
      <c r="B461" t="s">
        <v>465</v>
      </c>
      <c r="C461">
        <v>21.812003255195751</v>
      </c>
      <c r="D461">
        <v>952.66131591796875</v>
      </c>
      <c r="E461">
        <v>817.25</v>
      </c>
      <c r="F461">
        <f>(Table[[#This Row],[price_lag]] - Table[[#This Row],[price]]) / Table[[#This Row],[price]]</f>
        <v>-0.14214003828578747</v>
      </c>
    </row>
    <row r="462" spans="1:6" hidden="1" x14ac:dyDescent="0.2">
      <c r="A462" t="s">
        <v>5</v>
      </c>
      <c r="B462" t="s">
        <v>466</v>
      </c>
      <c r="C462">
        <v>33.075015666728717</v>
      </c>
      <c r="D462">
        <v>342.99386596679688</v>
      </c>
      <c r="E462">
        <v>332.16000366210938</v>
      </c>
      <c r="F462">
        <f>(Table[[#This Row],[price_lag]] - Table[[#This Row],[price]]) / Table[[#This Row],[price]]</f>
        <v>-3.1586169257429984E-2</v>
      </c>
    </row>
    <row r="463" spans="1:6" hidden="1" x14ac:dyDescent="0.2">
      <c r="A463" t="s">
        <v>5</v>
      </c>
      <c r="B463" t="s">
        <v>467</v>
      </c>
      <c r="C463">
        <v>8.6263585735011752</v>
      </c>
      <c r="D463">
        <v>204.27217102050781</v>
      </c>
      <c r="E463">
        <v>225.05999755859381</v>
      </c>
      <c r="F463">
        <f>(Table[[#This Row],[price_lag]] - Table[[#This Row],[price]]) / Table[[#This Row],[price]]</f>
        <v>0.10176533804988547</v>
      </c>
    </row>
    <row r="464" spans="1:6" hidden="1" x14ac:dyDescent="0.2">
      <c r="A464" t="s">
        <v>5</v>
      </c>
      <c r="B464" t="s">
        <v>468</v>
      </c>
      <c r="C464">
        <v>11.94866525251313</v>
      </c>
      <c r="D464">
        <v>169.19309997558591</v>
      </c>
      <c r="E464">
        <v>164.86000061035159</v>
      </c>
      <c r="F464">
        <f>(Table[[#This Row],[price_lag]] - Table[[#This Row],[price]]) / Table[[#This Row],[price]]</f>
        <v>-2.561037870846726E-2</v>
      </c>
    </row>
    <row r="465" spans="1:6" hidden="1" x14ac:dyDescent="0.2">
      <c r="A465" t="s">
        <v>5</v>
      </c>
      <c r="B465" t="s">
        <v>469</v>
      </c>
      <c r="C465">
        <v>124.22131129673549</v>
      </c>
      <c r="D465">
        <v>69.563934326171875</v>
      </c>
      <c r="E465">
        <v>78.370002746582031</v>
      </c>
      <c r="F465">
        <f>(Table[[#This Row],[price_lag]] - Table[[#This Row],[price]]) / Table[[#This Row],[price]]</f>
        <v>0.12658956836915231</v>
      </c>
    </row>
    <row r="466" spans="1:6" hidden="1" x14ac:dyDescent="0.2">
      <c r="A466" t="s">
        <v>5</v>
      </c>
      <c r="B466" t="s">
        <v>470</v>
      </c>
      <c r="C466">
        <v>27.727413177490231</v>
      </c>
      <c r="D466">
        <v>106.4732666015625</v>
      </c>
      <c r="E466">
        <v>101.22999572753911</v>
      </c>
      <c r="F466">
        <f>(Table[[#This Row],[price_lag]] - Table[[#This Row],[price]]) / Table[[#This Row],[price]]</f>
        <v>-4.9244951727126306E-2</v>
      </c>
    </row>
    <row r="467" spans="1:6" hidden="1" x14ac:dyDescent="0.2">
      <c r="A467" t="s">
        <v>5</v>
      </c>
      <c r="B467" t="s">
        <v>471</v>
      </c>
      <c r="C467">
        <v>30.560259233441268</v>
      </c>
      <c r="D467">
        <v>278.70956420898438</v>
      </c>
      <c r="E467">
        <v>245.91999816894531</v>
      </c>
      <c r="F467">
        <f>(Table[[#This Row],[price_lag]] - Table[[#This Row],[price]]) / Table[[#This Row],[price]]</f>
        <v>-0.11764779631118978</v>
      </c>
    </row>
    <row r="468" spans="1:6" hidden="1" x14ac:dyDescent="0.2">
      <c r="A468" t="s">
        <v>5</v>
      </c>
      <c r="B468" t="s">
        <v>472</v>
      </c>
      <c r="C468">
        <v>38.732834804205247</v>
      </c>
      <c r="D468">
        <v>250.98876953125</v>
      </c>
      <c r="E468">
        <v>224.36000061035159</v>
      </c>
      <c r="F468">
        <f>(Table[[#This Row],[price_lag]] - Table[[#This Row],[price]]) / Table[[#This Row],[price]]</f>
        <v>-0.10609545985117444</v>
      </c>
    </row>
    <row r="469" spans="1:6" hidden="1" x14ac:dyDescent="0.2">
      <c r="A469" t="s">
        <v>5</v>
      </c>
      <c r="B469" t="s">
        <v>473</v>
      </c>
      <c r="C469">
        <v>9.0748762473081932</v>
      </c>
      <c r="D469">
        <v>42.470420837402337</v>
      </c>
      <c r="E469">
        <v>40.005905151367188</v>
      </c>
      <c r="F469">
        <f>(Table[[#This Row],[price_lag]] - Table[[#This Row],[price]]) / Table[[#This Row],[price]]</f>
        <v>-5.8028991411941205E-2</v>
      </c>
    </row>
    <row r="470" spans="1:6" hidden="1" x14ac:dyDescent="0.2">
      <c r="A470" t="s">
        <v>5</v>
      </c>
      <c r="B470" t="s">
        <v>474</v>
      </c>
      <c r="C470">
        <v>23.091981995780511</v>
      </c>
      <c r="D470">
        <v>391.6400146484375</v>
      </c>
      <c r="E470">
        <v>453.739990234375</v>
      </c>
      <c r="F470">
        <f>(Table[[#This Row],[price_lag]] - Table[[#This Row],[price]]) / Table[[#This Row],[price]]</f>
        <v>0.15856391906655051</v>
      </c>
    </row>
    <row r="471" spans="1:6" hidden="1" x14ac:dyDescent="0.2">
      <c r="A471" t="s">
        <v>5</v>
      </c>
      <c r="B471" t="s">
        <v>475</v>
      </c>
      <c r="C471">
        <v>0</v>
      </c>
      <c r="D471">
        <v>9.7864236831665039</v>
      </c>
      <c r="E471">
        <v>12.539999961853029</v>
      </c>
      <c r="F471">
        <f>(Table[[#This Row],[price_lag]] - Table[[#This Row],[price]]) / Table[[#This Row],[price]]</f>
        <v>0.28136695976313747</v>
      </c>
    </row>
    <row r="472" spans="1:6" hidden="1" x14ac:dyDescent="0.2">
      <c r="A472" t="s">
        <v>5</v>
      </c>
      <c r="B472" t="s">
        <v>476</v>
      </c>
      <c r="C472">
        <v>11.2998774353887</v>
      </c>
      <c r="D472">
        <v>32.091651916503913</v>
      </c>
      <c r="E472">
        <v>28.340000152587891</v>
      </c>
      <c r="F472">
        <f>(Table[[#This Row],[price_lag]] - Table[[#This Row],[price]]) / Table[[#This Row],[price]]</f>
        <v>-0.11690428942944643</v>
      </c>
    </row>
    <row r="473" spans="1:6" hidden="1" x14ac:dyDescent="0.2">
      <c r="A473" t="s">
        <v>5</v>
      </c>
      <c r="B473" t="s">
        <v>477</v>
      </c>
      <c r="C473">
        <v>32.510032362610318</v>
      </c>
      <c r="D473">
        <v>340.70513916015619</v>
      </c>
      <c r="E473">
        <v>353.6199951171875</v>
      </c>
      <c r="F473">
        <f>(Table[[#This Row],[price_lag]] - Table[[#This Row],[price]]) / Table[[#This Row],[price]]</f>
        <v>3.7906255211960234E-2</v>
      </c>
    </row>
    <row r="474" spans="1:6" hidden="1" x14ac:dyDescent="0.2">
      <c r="A474" t="s">
        <v>5</v>
      </c>
      <c r="B474" t="s">
        <v>478</v>
      </c>
      <c r="C474">
        <v>27.4262140234258</v>
      </c>
      <c r="D474">
        <v>195.64720153808591</v>
      </c>
      <c r="E474">
        <v>162.6199951171875</v>
      </c>
      <c r="F474">
        <f>(Table[[#This Row],[price_lag]] - Table[[#This Row],[price]]) / Table[[#This Row],[price]]</f>
        <v>-0.16881001190537923</v>
      </c>
    </row>
    <row r="475" spans="1:6" hidden="1" x14ac:dyDescent="0.2">
      <c r="A475" t="s">
        <v>5</v>
      </c>
      <c r="B475" t="s">
        <v>479</v>
      </c>
      <c r="C475">
        <v>27.033040221308319</v>
      </c>
      <c r="D475">
        <v>307.0953369140625</v>
      </c>
      <c r="E475">
        <v>288.8800048828125</v>
      </c>
      <c r="F475">
        <f>(Table[[#This Row],[price_lag]] - Table[[#This Row],[price]]) / Table[[#This Row],[price]]</f>
        <v>-5.9314909220999912E-2</v>
      </c>
    </row>
    <row r="476" spans="1:6" hidden="1" x14ac:dyDescent="0.2">
      <c r="A476" t="s">
        <v>5</v>
      </c>
      <c r="B476" t="s">
        <v>480</v>
      </c>
      <c r="C476">
        <v>14.615385661753569</v>
      </c>
      <c r="D476">
        <v>75.415390014648438</v>
      </c>
      <c r="E476">
        <v>70.800003051757812</v>
      </c>
      <c r="F476">
        <f>(Table[[#This Row],[price_lag]] - Table[[#This Row],[price]]) / Table[[#This Row],[price]]</f>
        <v>-6.1199537150098245E-2</v>
      </c>
    </row>
    <row r="477" spans="1:6" hidden="1" x14ac:dyDescent="0.2">
      <c r="A477" t="s">
        <v>5</v>
      </c>
      <c r="B477" t="s">
        <v>481</v>
      </c>
      <c r="C477">
        <v>38.772632791789867</v>
      </c>
      <c r="D477">
        <v>950.7049560546875</v>
      </c>
      <c r="E477">
        <v>1021.090026855469</v>
      </c>
      <c r="F477">
        <f>(Table[[#This Row],[price_lag]] - Table[[#This Row],[price]]) / Table[[#This Row],[price]]</f>
        <v>7.4034610162201267E-2</v>
      </c>
    </row>
    <row r="478" spans="1:6" hidden="1" x14ac:dyDescent="0.2">
      <c r="A478" t="s">
        <v>5</v>
      </c>
      <c r="B478" t="s">
        <v>482</v>
      </c>
      <c r="C478">
        <v>27.65593555092153</v>
      </c>
      <c r="D478">
        <v>200.2289733886719</v>
      </c>
      <c r="E478">
        <v>216.69000244140619</v>
      </c>
      <c r="F478">
        <f>(Table[[#This Row],[price_lag]] - Table[[#This Row],[price]]) / Table[[#This Row],[price]]</f>
        <v>8.2211024579250946E-2</v>
      </c>
    </row>
    <row r="479" spans="1:6" hidden="1" x14ac:dyDescent="0.2">
      <c r="A479" t="s">
        <v>5</v>
      </c>
      <c r="B479" t="s">
        <v>483</v>
      </c>
      <c r="C479">
        <v>33.392968115868513</v>
      </c>
      <c r="D479">
        <v>102.850341796875</v>
      </c>
      <c r="E479">
        <v>111.9199981689453</v>
      </c>
      <c r="F479">
        <f>(Table[[#This Row],[price_lag]] - Table[[#This Row],[price]]) / Table[[#This Row],[price]]</f>
        <v>8.8183045516586414E-2</v>
      </c>
    </row>
    <row r="480" spans="1:6" hidden="1" x14ac:dyDescent="0.2">
      <c r="A480" t="s">
        <v>5</v>
      </c>
      <c r="B480" t="s">
        <v>484</v>
      </c>
      <c r="C480">
        <v>38.9488063446463</v>
      </c>
      <c r="D480">
        <v>113.7305145263672</v>
      </c>
      <c r="E480">
        <v>114.7900009155273</v>
      </c>
      <c r="F480">
        <f>(Table[[#This Row],[price_lag]] - Table[[#This Row],[price]]) / Table[[#This Row],[price]]</f>
        <v>9.3157618566340767E-3</v>
      </c>
    </row>
    <row r="481" spans="1:6" hidden="1" x14ac:dyDescent="0.2">
      <c r="A481" t="s">
        <v>5</v>
      </c>
      <c r="B481" t="s">
        <v>485</v>
      </c>
      <c r="C481">
        <v>0</v>
      </c>
      <c r="D481">
        <v>19.530000686645511</v>
      </c>
      <c r="E481">
        <v>28.940000534057621</v>
      </c>
      <c r="F481">
        <f>(Table[[#This Row],[price_lag]] - Table[[#This Row],[price]]) / Table[[#This Row],[price]]</f>
        <v>0.48182281190837883</v>
      </c>
    </row>
    <row r="482" spans="1:6" hidden="1" x14ac:dyDescent="0.2">
      <c r="A482" t="s">
        <v>5</v>
      </c>
      <c r="B482" t="s">
        <v>486</v>
      </c>
      <c r="C482">
        <v>36.663238525390618</v>
      </c>
      <c r="D482">
        <v>219.97943115234381</v>
      </c>
      <c r="E482">
        <v>222.1199951171875</v>
      </c>
      <c r="F482">
        <f>(Table[[#This Row],[price_lag]] - Table[[#This Row],[price]]) / Table[[#This Row],[price]]</f>
        <v>9.7307459776149446E-3</v>
      </c>
    </row>
    <row r="483" spans="1:6" hidden="1" x14ac:dyDescent="0.2">
      <c r="A483" t="s">
        <v>5</v>
      </c>
      <c r="B483" t="s">
        <v>487</v>
      </c>
      <c r="C483">
        <v>29.980999755859379</v>
      </c>
      <c r="D483">
        <v>299.80999755859381</v>
      </c>
      <c r="E483">
        <v>383.989990234375</v>
      </c>
      <c r="F483">
        <f>(Table[[#This Row],[price_lag]] - Table[[#This Row],[price]]) / Table[[#This Row],[price]]</f>
        <v>0.28077780381332801</v>
      </c>
    </row>
    <row r="484" spans="1:6" hidden="1" x14ac:dyDescent="0.2">
      <c r="A484" t="s">
        <v>5</v>
      </c>
      <c r="B484" t="s">
        <v>488</v>
      </c>
      <c r="C484">
        <v>33.831612269083656</v>
      </c>
      <c r="D484">
        <v>113.67421722412109</v>
      </c>
      <c r="E484">
        <v>106.0899963378906</v>
      </c>
      <c r="F484">
        <f>(Table[[#This Row],[price_lag]] - Table[[#This Row],[price]]) / Table[[#This Row],[price]]</f>
        <v>-6.6718918954835463E-2</v>
      </c>
    </row>
    <row r="485" spans="1:6" hidden="1" x14ac:dyDescent="0.2">
      <c r="A485" t="s">
        <v>5</v>
      </c>
      <c r="B485" t="s">
        <v>489</v>
      </c>
      <c r="C485">
        <v>12.407977240426201</v>
      </c>
      <c r="D485">
        <v>83.381607055664062</v>
      </c>
      <c r="E485">
        <v>94.30999755859375</v>
      </c>
      <c r="F485">
        <f>(Table[[#This Row],[price_lag]] - Table[[#This Row],[price]]) / Table[[#This Row],[price]]</f>
        <v>0.13106476222788666</v>
      </c>
    </row>
    <row r="486" spans="1:6" hidden="1" x14ac:dyDescent="0.2">
      <c r="A486" t="s">
        <v>5</v>
      </c>
      <c r="B486" t="s">
        <v>490</v>
      </c>
      <c r="C486">
        <v>105.62327248709541</v>
      </c>
      <c r="D486">
        <v>177.44709777832031</v>
      </c>
      <c r="E486">
        <v>188</v>
      </c>
      <c r="F486">
        <f>(Table[[#This Row],[price_lag]] - Table[[#This Row],[price]]) / Table[[#This Row],[price]]</f>
        <v>5.9470694949675267E-2</v>
      </c>
    </row>
    <row r="487" spans="1:6" hidden="1" x14ac:dyDescent="0.2">
      <c r="A487" t="s">
        <v>5</v>
      </c>
      <c r="B487" t="s">
        <v>491</v>
      </c>
      <c r="C487">
        <v>33.778601577601478</v>
      </c>
      <c r="D487">
        <v>262.1219482421875</v>
      </c>
      <c r="E487">
        <v>276.8699951171875</v>
      </c>
      <c r="F487">
        <f>(Table[[#This Row],[price_lag]] - Table[[#This Row],[price]]) / Table[[#This Row],[price]]</f>
        <v>5.6264067064592187E-2</v>
      </c>
    </row>
    <row r="488" spans="1:6" hidden="1" x14ac:dyDescent="0.2">
      <c r="A488" t="s">
        <v>5</v>
      </c>
      <c r="B488" t="s">
        <v>492</v>
      </c>
      <c r="C488">
        <v>8.97930682062389</v>
      </c>
      <c r="D488">
        <v>119.9635391235352</v>
      </c>
      <c r="E488">
        <v>176.05999755859381</v>
      </c>
      <c r="F488">
        <f>(Table[[#This Row],[price_lag]] - Table[[#This Row],[price]]) / Table[[#This Row],[price]]</f>
        <v>0.46761256665904127</v>
      </c>
    </row>
    <row r="489" spans="1:6" hidden="1" x14ac:dyDescent="0.2">
      <c r="A489" t="s">
        <v>5</v>
      </c>
      <c r="B489" t="s">
        <v>493</v>
      </c>
      <c r="C489">
        <v>55.809393796053797</v>
      </c>
      <c r="D489">
        <v>24.556133270263668</v>
      </c>
      <c r="E489">
        <v>23.989999771118161</v>
      </c>
      <c r="F489">
        <f>(Table[[#This Row],[price_lag]] - Table[[#This Row],[price]]) / Table[[#This Row],[price]]</f>
        <v>-2.305466796888047E-2</v>
      </c>
    </row>
    <row r="490" spans="1:6" hidden="1" x14ac:dyDescent="0.2">
      <c r="A490" t="s">
        <v>5</v>
      </c>
      <c r="B490" t="s">
        <v>494</v>
      </c>
      <c r="C490">
        <v>24.390691249214829</v>
      </c>
      <c r="D490">
        <v>194.14990234375</v>
      </c>
      <c r="E490">
        <v>180.82987976074219</v>
      </c>
      <c r="F490">
        <f>(Table[[#This Row],[price_lag]] - Table[[#This Row],[price]]) / Table[[#This Row],[price]]</f>
        <v>-6.8606898186454879E-2</v>
      </c>
    </row>
    <row r="491" spans="1:6" hidden="1" x14ac:dyDescent="0.2">
      <c r="A491" t="s">
        <v>5</v>
      </c>
      <c r="B491" t="s">
        <v>495</v>
      </c>
      <c r="C491">
        <v>29.636818507932269</v>
      </c>
      <c r="D491">
        <v>62.830055236816413</v>
      </c>
      <c r="E491">
        <v>60.159999847412109</v>
      </c>
      <c r="F491">
        <f>(Table[[#This Row],[price_lag]] - Table[[#This Row],[price]]) / Table[[#This Row],[price]]</f>
        <v>-4.2496467325079425E-2</v>
      </c>
    </row>
    <row r="492" spans="1:6" hidden="1" x14ac:dyDescent="0.2">
      <c r="A492" t="s">
        <v>5</v>
      </c>
      <c r="B492" t="s">
        <v>496</v>
      </c>
      <c r="C492">
        <v>27.60394903329702</v>
      </c>
      <c r="D492">
        <v>344.49728393554688</v>
      </c>
      <c r="E492">
        <v>332.65997314453119</v>
      </c>
      <c r="F492">
        <f>(Table[[#This Row],[price_lag]] - Table[[#This Row],[price]]) / Table[[#This Row],[price]]</f>
        <v>-3.4361115001505682E-2</v>
      </c>
    </row>
    <row r="493" spans="1:6" hidden="1" x14ac:dyDescent="0.2">
      <c r="A493" t="s">
        <v>5</v>
      </c>
      <c r="B493" t="s">
        <v>497</v>
      </c>
      <c r="C493">
        <v>63.349998875668177</v>
      </c>
      <c r="D493">
        <v>240.72999572753909</v>
      </c>
      <c r="E493">
        <v>216.92999267578119</v>
      </c>
      <c r="F493">
        <f>(Table[[#This Row],[price_lag]] - Table[[#This Row],[price]]) / Table[[#This Row],[price]]</f>
        <v>-9.8865963835661791E-2</v>
      </c>
    </row>
    <row r="494" spans="1:6" hidden="1" x14ac:dyDescent="0.2">
      <c r="A494" t="s">
        <v>5</v>
      </c>
      <c r="B494" t="s">
        <v>498</v>
      </c>
      <c r="C494">
        <v>37.210579805595927</v>
      </c>
      <c r="D494">
        <v>128.00439453125</v>
      </c>
      <c r="E494">
        <v>120.3300018310547</v>
      </c>
      <c r="F494">
        <f>(Table[[#This Row],[price_lag]] - Table[[#This Row],[price]]) / Table[[#This Row],[price]]</f>
        <v>-5.9954134608415588E-2</v>
      </c>
    </row>
    <row r="495" spans="1:6" hidden="1" x14ac:dyDescent="0.2">
      <c r="A495" t="s">
        <v>5</v>
      </c>
      <c r="B495" t="s">
        <v>499</v>
      </c>
      <c r="C495">
        <v>22.736443172801621</v>
      </c>
      <c r="D495">
        <v>80.032279968261719</v>
      </c>
      <c r="E495">
        <v>74.19000244140625</v>
      </c>
      <c r="F495">
        <f>(Table[[#This Row],[price_lag]] - Table[[#This Row],[price]]) / Table[[#This Row],[price]]</f>
        <v>-7.2999014012500099E-2</v>
      </c>
    </row>
    <row r="496" spans="1:6" hidden="1" x14ac:dyDescent="0.2">
      <c r="A496" t="s">
        <v>5</v>
      </c>
      <c r="B496" t="s">
        <v>500</v>
      </c>
      <c r="C496">
        <v>39.538713680800569</v>
      </c>
      <c r="D496">
        <v>147.0840148925781</v>
      </c>
      <c r="E496">
        <v>137.5899963378906</v>
      </c>
      <c r="F496">
        <f>(Table[[#This Row],[price_lag]] - Table[[#This Row],[price]]) / Table[[#This Row],[price]]</f>
        <v>-6.4548268971454159E-2</v>
      </c>
    </row>
    <row r="497" spans="1:6" hidden="1" x14ac:dyDescent="0.2">
      <c r="A497" t="s">
        <v>5</v>
      </c>
      <c r="B497" t="s">
        <v>501</v>
      </c>
      <c r="C497">
        <v>26.634433907522279</v>
      </c>
      <c r="D497">
        <v>151.28358459472659</v>
      </c>
      <c r="E497">
        <v>152.17999267578119</v>
      </c>
      <c r="F497">
        <f>(Table[[#This Row],[price_lag]] - Table[[#This Row],[price]]) / Table[[#This Row],[price]]</f>
        <v>5.9253492932229805E-3</v>
      </c>
    </row>
    <row r="498" spans="1:6" hidden="1" x14ac:dyDescent="0.2">
      <c r="A498" t="s">
        <v>5</v>
      </c>
      <c r="B498" t="s">
        <v>502</v>
      </c>
      <c r="C498">
        <v>37.520202482589568</v>
      </c>
      <c r="D498">
        <v>297.16000366210938</v>
      </c>
      <c r="E498">
        <v>246.74000549316409</v>
      </c>
      <c r="F498">
        <f>(Table[[#This Row],[price_lag]] - Table[[#This Row],[price]]) / Table[[#This Row],[price]]</f>
        <v>-0.16967289523349233</v>
      </c>
    </row>
    <row r="499" spans="1:6" hidden="1" x14ac:dyDescent="0.2">
      <c r="A499" t="s">
        <v>5</v>
      </c>
      <c r="B499" t="s">
        <v>503</v>
      </c>
      <c r="C499">
        <v>20.991212893755009</v>
      </c>
      <c r="D499">
        <v>98.238876342773438</v>
      </c>
      <c r="E499">
        <v>90.790000915527344</v>
      </c>
      <c r="F499">
        <f>(Table[[#This Row],[price_lag]] - Table[[#This Row],[price]]) / Table[[#This Row],[price]]</f>
        <v>-7.5824110622515706E-2</v>
      </c>
    </row>
    <row r="500" spans="1:6" hidden="1" x14ac:dyDescent="0.2">
      <c r="A500" t="s">
        <v>5</v>
      </c>
      <c r="B500" t="s">
        <v>504</v>
      </c>
      <c r="C500">
        <v>22.26876100879506</v>
      </c>
      <c r="D500">
        <v>145.19232177734381</v>
      </c>
      <c r="E500">
        <v>125.8725204467773</v>
      </c>
      <c r="F500">
        <f>(Table[[#This Row],[price_lag]] - Table[[#This Row],[price]]) / Table[[#This Row],[price]]</f>
        <v>-0.13306351943454642</v>
      </c>
    </row>
    <row r="501" spans="1:6" hidden="1" x14ac:dyDescent="0.2">
      <c r="A501" t="s">
        <v>505</v>
      </c>
      <c r="B501" t="s">
        <v>6</v>
      </c>
      <c r="C501">
        <v>27.942858095522279</v>
      </c>
      <c r="D501">
        <v>150.89143371582031</v>
      </c>
      <c r="E501">
        <v>154.51605224609381</v>
      </c>
      <c r="F501">
        <f>(Table[[#This Row],[price_lag]] - Table[[#This Row],[price]]) / Table[[#This Row],[price]]</f>
        <v>2.4021367157925473E-2</v>
      </c>
    </row>
    <row r="502" spans="1:6" hidden="1" x14ac:dyDescent="0.2">
      <c r="A502" t="s">
        <v>505</v>
      </c>
      <c r="B502" t="s">
        <v>7</v>
      </c>
      <c r="C502">
        <v>15.1899581662197</v>
      </c>
      <c r="D502">
        <v>64.903045654296875</v>
      </c>
      <c r="E502">
        <v>73.013786315917969</v>
      </c>
      <c r="F502">
        <f>(Table[[#This Row],[price_lag]] - Table[[#This Row],[price]]) / Table[[#This Row],[price]]</f>
        <v>0.12496702704558096</v>
      </c>
    </row>
    <row r="503" spans="1:6" hidden="1" x14ac:dyDescent="0.2">
      <c r="A503" t="s">
        <v>505</v>
      </c>
      <c r="B503" t="s">
        <v>8</v>
      </c>
      <c r="C503">
        <v>32.804420734644609</v>
      </c>
      <c r="D503">
        <v>134.12336730957031</v>
      </c>
      <c r="E503">
        <v>132.67497253417969</v>
      </c>
      <c r="F503">
        <f>(Table[[#This Row],[price_lag]] - Table[[#This Row],[price]]) / Table[[#This Row],[price]]</f>
        <v>-1.0798974141825587E-2</v>
      </c>
    </row>
    <row r="504" spans="1:6" hidden="1" x14ac:dyDescent="0.2">
      <c r="A504" t="s">
        <v>505</v>
      </c>
      <c r="B504" t="s">
        <v>9</v>
      </c>
      <c r="C504">
        <v>85.335813394052025</v>
      </c>
      <c r="D504">
        <v>181.2549743652344</v>
      </c>
      <c r="E504">
        <v>228.04792785644531</v>
      </c>
      <c r="F504">
        <f>(Table[[#This Row],[price_lag]] - Table[[#This Row],[price]]) / Table[[#This Row],[price]]</f>
        <v>0.2581609340934371</v>
      </c>
    </row>
    <row r="505" spans="1:6" hidden="1" x14ac:dyDescent="0.2">
      <c r="A505" t="s">
        <v>505</v>
      </c>
      <c r="B505" t="s">
        <v>10</v>
      </c>
      <c r="C505">
        <v>21.12234288995916</v>
      </c>
      <c r="D505">
        <v>297.402587890625</v>
      </c>
      <c r="E505">
        <v>246.6000061035156</v>
      </c>
      <c r="F505">
        <f>(Table[[#This Row],[price_lag]] - Table[[#This Row],[price]]) / Table[[#This Row],[price]]</f>
        <v>-0.17082091365591257</v>
      </c>
    </row>
    <row r="506" spans="1:6" hidden="1" x14ac:dyDescent="0.2">
      <c r="A506" t="s">
        <v>505</v>
      </c>
      <c r="B506" t="s">
        <v>11</v>
      </c>
      <c r="C506">
        <v>24.486076258405848</v>
      </c>
      <c r="D506">
        <v>386.8800048828125</v>
      </c>
      <c r="E506">
        <v>352.75</v>
      </c>
      <c r="F506">
        <f>(Table[[#This Row],[price_lag]] - Table[[#This Row],[price]]) / Table[[#This Row],[price]]</f>
        <v>-8.8218580572936606E-2</v>
      </c>
    </row>
    <row r="507" spans="1:6" hidden="1" x14ac:dyDescent="0.2">
      <c r="A507" t="s">
        <v>505</v>
      </c>
      <c r="B507" t="s">
        <v>12</v>
      </c>
      <c r="C507">
        <v>65.694441618742758</v>
      </c>
      <c r="D507">
        <v>141.8999938964844</v>
      </c>
      <c r="E507">
        <v>161.78999328613281</v>
      </c>
      <c r="F507">
        <f>(Table[[#This Row],[price_lag]] - Table[[#This Row],[price]]) / Table[[#This Row],[price]]</f>
        <v>0.14016913492017555</v>
      </c>
    </row>
    <row r="508" spans="1:6" hidden="1" x14ac:dyDescent="0.2">
      <c r="A508" t="s">
        <v>505</v>
      </c>
      <c r="B508" t="s">
        <v>13</v>
      </c>
      <c r="C508">
        <v>0</v>
      </c>
      <c r="D508">
        <v>10.248904228210449</v>
      </c>
      <c r="E508">
        <v>12.994795799255369</v>
      </c>
      <c r="F508">
        <f>(Table[[#This Row],[price_lag]] - Table[[#This Row],[price]]) / Table[[#This Row],[price]]</f>
        <v>0.2679205025144798</v>
      </c>
    </row>
    <row r="509" spans="1:6" hidden="1" x14ac:dyDescent="0.2">
      <c r="A509" t="s">
        <v>505</v>
      </c>
      <c r="B509" t="s">
        <v>14</v>
      </c>
      <c r="C509">
        <v>23.290942396436421</v>
      </c>
      <c r="D509">
        <v>104.3434219360352</v>
      </c>
      <c r="E509">
        <v>111.1203079223633</v>
      </c>
      <c r="F509">
        <f>(Table[[#This Row],[price_lag]] - Table[[#This Row],[price]]) / Table[[#This Row],[price]]</f>
        <v>6.4947898588973596E-2</v>
      </c>
    </row>
    <row r="510" spans="1:6" hidden="1" x14ac:dyDescent="0.2">
      <c r="A510" t="s">
        <v>505</v>
      </c>
      <c r="B510" t="s">
        <v>15</v>
      </c>
      <c r="C510">
        <v>24.85515303530936</v>
      </c>
      <c r="D510">
        <v>117.3163223266602</v>
      </c>
      <c r="E510">
        <v>128.12101745605469</v>
      </c>
      <c r="F510">
        <f>(Table[[#This Row],[price_lag]] - Table[[#This Row],[price]]) / Table[[#This Row],[price]]</f>
        <v>9.2098822355762819E-2</v>
      </c>
    </row>
    <row r="511" spans="1:6" hidden="1" x14ac:dyDescent="0.2">
      <c r="A511" t="s">
        <v>505</v>
      </c>
      <c r="B511" t="s">
        <v>16</v>
      </c>
      <c r="C511">
        <v>21.594750881195068</v>
      </c>
      <c r="D511">
        <v>276.41281127929688</v>
      </c>
      <c r="E511">
        <v>268.96673583984381</v>
      </c>
      <c r="F511">
        <f>(Table[[#This Row],[price_lag]] - Table[[#This Row],[price]]) / Table[[#This Row],[price]]</f>
        <v>-2.6938242858538495E-2</v>
      </c>
    </row>
    <row r="512" spans="1:6" hidden="1" x14ac:dyDescent="0.2">
      <c r="A512" t="s">
        <v>505</v>
      </c>
      <c r="B512" t="s">
        <v>17</v>
      </c>
      <c r="C512">
        <v>31.812499119685249</v>
      </c>
      <c r="D512">
        <v>132.3399963378906</v>
      </c>
      <c r="E512">
        <v>121.4199981689453</v>
      </c>
      <c r="F512">
        <f>(Table[[#This Row],[price_lag]] - Table[[#This Row],[price]]) / Table[[#This Row],[price]]</f>
        <v>-8.2514723221423919E-2</v>
      </c>
    </row>
    <row r="513" spans="1:6" hidden="1" x14ac:dyDescent="0.2">
      <c r="A513" t="s">
        <v>505</v>
      </c>
      <c r="B513" t="s">
        <v>18</v>
      </c>
      <c r="C513">
        <v>27.694445186191139</v>
      </c>
      <c r="D513">
        <v>79.760002136230469</v>
      </c>
      <c r="E513">
        <v>75.760002136230469</v>
      </c>
      <c r="F513">
        <f>(Table[[#This Row],[price_lag]] - Table[[#This Row],[price]]) / Table[[#This Row],[price]]</f>
        <v>-5.0150450010871123E-2</v>
      </c>
    </row>
    <row r="514" spans="1:6" hidden="1" x14ac:dyDescent="0.2">
      <c r="A514" t="s">
        <v>505</v>
      </c>
      <c r="B514" t="s">
        <v>19</v>
      </c>
      <c r="C514">
        <v>0</v>
      </c>
      <c r="D514">
        <v>62.144237518310547</v>
      </c>
      <c r="E514">
        <v>80.836021423339844</v>
      </c>
      <c r="F514">
        <f>(Table[[#This Row],[price_lag]] - Table[[#This Row],[price]]) / Table[[#This Row],[price]]</f>
        <v>0.3007806459854277</v>
      </c>
    </row>
    <row r="515" spans="1:6" hidden="1" x14ac:dyDescent="0.2">
      <c r="A515" t="s">
        <v>505</v>
      </c>
      <c r="B515" t="s">
        <v>20</v>
      </c>
      <c r="C515">
        <v>0</v>
      </c>
      <c r="D515">
        <v>70.45379638671875</v>
      </c>
      <c r="E515">
        <v>82.127044677734375</v>
      </c>
      <c r="F515">
        <f>(Table[[#This Row],[price_lag]] - Table[[#This Row],[price]]) / Table[[#This Row],[price]]</f>
        <v>0.16568657602127668</v>
      </c>
    </row>
    <row r="516" spans="1:6" hidden="1" x14ac:dyDescent="0.2">
      <c r="A516" t="s">
        <v>505</v>
      </c>
      <c r="B516" t="s">
        <v>21</v>
      </c>
      <c r="C516">
        <v>27.518895614978881</v>
      </c>
      <c r="D516">
        <v>189.33000183105469</v>
      </c>
      <c r="E516">
        <v>125.2200012207031</v>
      </c>
      <c r="F516">
        <f>(Table[[#This Row],[price_lag]] - Table[[#This Row],[price]]) / Table[[#This Row],[price]]</f>
        <v>-0.33861511641223679</v>
      </c>
    </row>
    <row r="517" spans="1:6" hidden="1" x14ac:dyDescent="0.2">
      <c r="A517" t="s">
        <v>505</v>
      </c>
      <c r="B517" t="s">
        <v>22</v>
      </c>
      <c r="C517">
        <v>19.370967085643478</v>
      </c>
      <c r="D517">
        <v>144.1199951171875</v>
      </c>
      <c r="E517">
        <v>177.3500061035156</v>
      </c>
      <c r="F517">
        <f>(Table[[#This Row],[price_lag]] - Table[[#This Row],[price]]) / Table[[#This Row],[price]]</f>
        <v>0.23057182980965243</v>
      </c>
    </row>
    <row r="518" spans="1:6" hidden="1" x14ac:dyDescent="0.2">
      <c r="A518" t="s">
        <v>505</v>
      </c>
      <c r="B518" t="s">
        <v>23</v>
      </c>
      <c r="C518">
        <v>21.893579819623159</v>
      </c>
      <c r="D518">
        <v>59.550537109375</v>
      </c>
      <c r="E518">
        <v>66.906883239746094</v>
      </c>
      <c r="F518">
        <f>(Table[[#This Row],[price_lag]] - Table[[#This Row],[price]]) / Table[[#This Row],[price]]</f>
        <v>0.12353114661014516</v>
      </c>
    </row>
    <row r="519" spans="1:6" hidden="1" x14ac:dyDescent="0.2">
      <c r="A519" t="s">
        <v>505</v>
      </c>
      <c r="B519" t="s">
        <v>24</v>
      </c>
      <c r="C519">
        <v>6.3416493151327424</v>
      </c>
      <c r="D519">
        <v>199.38145446777341</v>
      </c>
      <c r="E519">
        <v>213.64215087890619</v>
      </c>
      <c r="F519">
        <f>(Table[[#This Row],[price_lag]] - Table[[#This Row],[price]]) / Table[[#This Row],[price]]</f>
        <v>7.1524688438050196E-2</v>
      </c>
    </row>
    <row r="520" spans="1:6" hidden="1" x14ac:dyDescent="0.2">
      <c r="A520" t="s">
        <v>505</v>
      </c>
      <c r="B520" t="s">
        <v>25</v>
      </c>
      <c r="C520">
        <v>18.879552358209828</v>
      </c>
      <c r="D520">
        <v>175.9574279785156</v>
      </c>
      <c r="E520">
        <v>242.94110107421881</v>
      </c>
      <c r="F520">
        <f>(Table[[#This Row],[price_lag]] - Table[[#This Row],[price]]) / Table[[#This Row],[price]]</f>
        <v>0.38068113330164111</v>
      </c>
    </row>
    <row r="521" spans="1:6" x14ac:dyDescent="0.2">
      <c r="A521" t="s">
        <v>505</v>
      </c>
      <c r="B521" t="s">
        <v>26</v>
      </c>
      <c r="C521">
        <v>19.003865647213651</v>
      </c>
      <c r="D521">
        <v>177.11602783203119</v>
      </c>
      <c r="E521">
        <v>243.3912048339844</v>
      </c>
      <c r="F521">
        <f>(Table[[#This Row],[price_lag]] - Table[[#This Row],[price]]) / Table[[#This Row],[price]]</f>
        <v>0.37419073707324546</v>
      </c>
    </row>
    <row r="522" spans="1:6" hidden="1" x14ac:dyDescent="0.2">
      <c r="A522" t="s">
        <v>505</v>
      </c>
      <c r="B522" t="s">
        <v>27</v>
      </c>
      <c r="C522">
        <v>10.01297158537268</v>
      </c>
      <c r="D522">
        <v>56.660602569580078</v>
      </c>
      <c r="E522">
        <v>64.872756958007812</v>
      </c>
      <c r="F522">
        <f>(Table[[#This Row],[price_lag]] - Table[[#This Row],[price]]) / Table[[#This Row],[price]]</f>
        <v>0.14493588165327195</v>
      </c>
    </row>
    <row r="523" spans="1:6" hidden="1" x14ac:dyDescent="0.2">
      <c r="A523" t="s">
        <v>505</v>
      </c>
      <c r="B523" t="s">
        <v>28</v>
      </c>
      <c r="C523">
        <v>32.074561314276089</v>
      </c>
      <c r="D523">
        <v>219.38999938964841</v>
      </c>
      <c r="E523">
        <v>219.57000732421881</v>
      </c>
      <c r="F523">
        <f>(Table[[#This Row],[price_lag]] - Table[[#This Row],[price]]) / Table[[#This Row],[price]]</f>
        <v>8.2049288969956199E-4</v>
      </c>
    </row>
    <row r="524" spans="1:6" hidden="1" x14ac:dyDescent="0.2">
      <c r="A524" t="s">
        <v>505</v>
      </c>
      <c r="B524" t="s">
        <v>29</v>
      </c>
      <c r="C524">
        <v>0</v>
      </c>
      <c r="D524">
        <v>45.950000762939453</v>
      </c>
      <c r="E524">
        <v>40.900001525878913</v>
      </c>
      <c r="F524">
        <f>(Table[[#This Row],[price_lag]] - Table[[#This Row],[price]]) / Table[[#This Row],[price]]</f>
        <v>-0.10990204903616824</v>
      </c>
    </row>
    <row r="525" spans="1:6" hidden="1" x14ac:dyDescent="0.2">
      <c r="A525" t="s">
        <v>505</v>
      </c>
      <c r="B525" t="s">
        <v>30</v>
      </c>
      <c r="C525">
        <v>23.204992331710521</v>
      </c>
      <c r="D525">
        <v>94.676368713378906</v>
      </c>
      <c r="E525">
        <v>103.6338272094727</v>
      </c>
      <c r="F525">
        <f>(Table[[#This Row],[price_lag]] - Table[[#This Row],[price]]) / Table[[#This Row],[price]]</f>
        <v>9.461134407479653E-2</v>
      </c>
    </row>
    <row r="526" spans="1:6" hidden="1" x14ac:dyDescent="0.2">
      <c r="A526" t="s">
        <v>505</v>
      </c>
      <c r="B526" t="s">
        <v>31</v>
      </c>
      <c r="C526">
        <v>11.146987681826131</v>
      </c>
      <c r="D526">
        <v>102.1064071655273</v>
      </c>
      <c r="E526">
        <v>111.61985778808589</v>
      </c>
      <c r="F526">
        <f>(Table[[#This Row],[price_lag]] - Table[[#This Row],[price]]) / Table[[#This Row],[price]]</f>
        <v>9.3171926097997904E-2</v>
      </c>
    </row>
    <row r="527" spans="1:6" hidden="1" x14ac:dyDescent="0.2">
      <c r="A527" t="s">
        <v>505</v>
      </c>
      <c r="B527" t="s">
        <v>32</v>
      </c>
      <c r="C527">
        <v>19.403741873946849</v>
      </c>
      <c r="D527">
        <v>316.6690673828125</v>
      </c>
      <c r="E527">
        <v>330.58612060546881</v>
      </c>
      <c r="F527">
        <f>(Table[[#This Row],[price_lag]] - Table[[#This Row],[price]]) / Table[[#This Row],[price]]</f>
        <v>4.3948255943269524E-2</v>
      </c>
    </row>
    <row r="528" spans="1:6" hidden="1" x14ac:dyDescent="0.2">
      <c r="A528" t="s">
        <v>505</v>
      </c>
      <c r="B528" t="s">
        <v>33</v>
      </c>
      <c r="C528">
        <v>10.58078670501709</v>
      </c>
      <c r="D528">
        <v>84.646293640136719</v>
      </c>
      <c r="E528">
        <v>78.130462646484375</v>
      </c>
      <c r="F528">
        <f>(Table[[#This Row],[price_lag]] - Table[[#This Row],[price]]) / Table[[#This Row],[price]]</f>
        <v>-7.697715651146636E-2</v>
      </c>
    </row>
    <row r="529" spans="1:6" hidden="1" x14ac:dyDescent="0.2">
      <c r="A529" t="s">
        <v>505</v>
      </c>
      <c r="B529" t="s">
        <v>34</v>
      </c>
      <c r="C529">
        <v>69.544048798389923</v>
      </c>
      <c r="D529">
        <v>216.97743225097659</v>
      </c>
      <c r="E529">
        <v>190.46669006347659</v>
      </c>
      <c r="F529">
        <f>(Table[[#This Row],[price_lag]] - Table[[#This Row],[price]]) / Table[[#This Row],[price]]</f>
        <v>-0.12218202562575804</v>
      </c>
    </row>
    <row r="530" spans="1:6" hidden="1" x14ac:dyDescent="0.2">
      <c r="A530" t="s">
        <v>505</v>
      </c>
      <c r="B530" t="s">
        <v>35</v>
      </c>
      <c r="C530">
        <v>23.21555678908889</v>
      </c>
      <c r="D530">
        <v>137.43609619140619</v>
      </c>
      <c r="E530">
        <v>138.30189514160159</v>
      </c>
      <c r="F530">
        <f>(Table[[#This Row],[price_lag]] - Table[[#This Row],[price]]) / Table[[#This Row],[price]]</f>
        <v>6.2996474302471905E-3</v>
      </c>
    </row>
    <row r="531" spans="1:6" hidden="1" x14ac:dyDescent="0.2">
      <c r="A531" t="s">
        <v>505</v>
      </c>
      <c r="B531" t="s">
        <v>36</v>
      </c>
      <c r="C531">
        <v>12.182500783134911</v>
      </c>
      <c r="D531">
        <v>530.18243408203125</v>
      </c>
      <c r="E531">
        <v>489.54660034179688</v>
      </c>
      <c r="F531">
        <f>(Table[[#This Row],[price_lag]] - Table[[#This Row],[price]]) / Table[[#This Row],[price]]</f>
        <v>-7.6645002037066909E-2</v>
      </c>
    </row>
    <row r="532" spans="1:6" hidden="1" x14ac:dyDescent="0.2">
      <c r="A532" t="s">
        <v>505</v>
      </c>
      <c r="B532" t="s">
        <v>37</v>
      </c>
      <c r="C532">
        <v>29.094117687594501</v>
      </c>
      <c r="D532">
        <v>180.38352966308591</v>
      </c>
      <c r="E532">
        <v>187.70745849609381</v>
      </c>
      <c r="F532">
        <f>(Table[[#This Row],[price_lag]] - Table[[#This Row],[price]]) / Table[[#This Row],[price]]</f>
        <v>4.0601982047292665E-2</v>
      </c>
    </row>
    <row r="533" spans="1:6" hidden="1" x14ac:dyDescent="0.2">
      <c r="A533" t="s">
        <v>505</v>
      </c>
      <c r="B533" t="s">
        <v>38</v>
      </c>
      <c r="C533">
        <v>25.8460281486798</v>
      </c>
      <c r="D533">
        <v>275.00173950195312</v>
      </c>
      <c r="E533">
        <v>280.20150756835938</v>
      </c>
      <c r="F533">
        <f>(Table[[#This Row],[price_lag]] - Table[[#This Row],[price]]) / Table[[#This Row],[price]]</f>
        <v>1.8908127911566611E-2</v>
      </c>
    </row>
    <row r="534" spans="1:6" hidden="1" x14ac:dyDescent="0.2">
      <c r="A534" t="s">
        <v>505</v>
      </c>
      <c r="B534" t="s">
        <v>39</v>
      </c>
      <c r="C534">
        <v>27.339880201551651</v>
      </c>
      <c r="D534">
        <v>98.423568725585938</v>
      </c>
      <c r="E534">
        <v>123.511833190918</v>
      </c>
      <c r="F534">
        <f>(Table[[#This Row],[price_lag]] - Table[[#This Row],[price]]) / Table[[#This Row],[price]]</f>
        <v>0.25490098347561929</v>
      </c>
    </row>
    <row r="535" spans="1:6" hidden="1" x14ac:dyDescent="0.2">
      <c r="A535" t="s">
        <v>505</v>
      </c>
      <c r="B535" t="s">
        <v>40</v>
      </c>
      <c r="C535">
        <v>56.249513171967997</v>
      </c>
      <c r="D535">
        <v>236.2479553222656</v>
      </c>
      <c r="E535">
        <v>244.83526611328119</v>
      </c>
      <c r="F535">
        <f>(Table[[#This Row],[price_lag]] - Table[[#This Row],[price]]) / Table[[#This Row],[price]]</f>
        <v>3.6348720052631373E-2</v>
      </c>
    </row>
    <row r="536" spans="1:6" hidden="1" x14ac:dyDescent="0.2">
      <c r="A536" t="s">
        <v>505</v>
      </c>
      <c r="B536" t="s">
        <v>41</v>
      </c>
      <c r="C536">
        <v>33.210150875262357</v>
      </c>
      <c r="D536">
        <v>356.0128173828125</v>
      </c>
      <c r="E536">
        <v>356.57998657226562</v>
      </c>
      <c r="F536">
        <f>(Table[[#This Row],[price_lag]] - Table[[#This Row],[price]]) / Table[[#This Row],[price]]</f>
        <v>1.5931145221753655E-3</v>
      </c>
    </row>
    <row r="537" spans="1:6" hidden="1" x14ac:dyDescent="0.2">
      <c r="A537" t="s">
        <v>505</v>
      </c>
      <c r="B537" t="s">
        <v>42</v>
      </c>
      <c r="C537">
        <v>2.6461524163891461</v>
      </c>
      <c r="D537">
        <v>17.676298141479489</v>
      </c>
      <c r="E537">
        <v>23.784999847412109</v>
      </c>
      <c r="F537">
        <f>(Table[[#This Row],[price_lag]] - Table[[#This Row],[price]]) / Table[[#This Row],[price]]</f>
        <v>0.34558716180498461</v>
      </c>
    </row>
    <row r="538" spans="1:6" hidden="1" x14ac:dyDescent="0.2">
      <c r="A538" t="s">
        <v>505</v>
      </c>
      <c r="B538" t="s">
        <v>43</v>
      </c>
      <c r="C538">
        <v>35.199733734130859</v>
      </c>
      <c r="D538">
        <v>140.79893493652341</v>
      </c>
      <c r="E538">
        <v>132.74957275390619</v>
      </c>
      <c r="F538">
        <f>(Table[[#This Row],[price_lag]] - Table[[#This Row],[price]]) / Table[[#This Row],[price]]</f>
        <v>-5.7169197950581951E-2</v>
      </c>
    </row>
    <row r="539" spans="1:6" hidden="1" x14ac:dyDescent="0.2">
      <c r="A539" t="s">
        <v>505</v>
      </c>
      <c r="B539" t="s">
        <v>44</v>
      </c>
      <c r="C539">
        <v>32.601741620689438</v>
      </c>
      <c r="D539">
        <v>204.73893737792969</v>
      </c>
      <c r="E539">
        <v>254.38340759277341</v>
      </c>
      <c r="F539">
        <f>(Table[[#This Row],[price_lag]] - Table[[#This Row],[price]]) / Table[[#This Row],[price]]</f>
        <v>0.24247693599778966</v>
      </c>
    </row>
    <row r="540" spans="1:6" hidden="1" x14ac:dyDescent="0.2">
      <c r="A540" t="s">
        <v>505</v>
      </c>
      <c r="B540" t="s">
        <v>45</v>
      </c>
      <c r="C540">
        <v>20.424852242918831</v>
      </c>
      <c r="D540">
        <v>182.18968200683591</v>
      </c>
      <c r="E540">
        <v>204.33946228027341</v>
      </c>
      <c r="F540">
        <f>(Table[[#This Row],[price_lag]] - Table[[#This Row],[price]]) / Table[[#This Row],[price]]</f>
        <v>0.12157538247751276</v>
      </c>
    </row>
    <row r="541" spans="1:6" hidden="1" x14ac:dyDescent="0.2">
      <c r="A541" t="s">
        <v>505</v>
      </c>
      <c r="B541" t="s">
        <v>46</v>
      </c>
      <c r="C541">
        <v>9.4750001695421009</v>
      </c>
      <c r="D541">
        <v>68.220001220703125</v>
      </c>
      <c r="E541">
        <v>86.220001220703125</v>
      </c>
      <c r="F541">
        <f>(Table[[#This Row],[price_lag]] - Table[[#This Row],[price]]) / Table[[#This Row],[price]]</f>
        <v>0.26385223802279023</v>
      </c>
    </row>
    <row r="542" spans="1:6" hidden="1" x14ac:dyDescent="0.2">
      <c r="A542" t="s">
        <v>505</v>
      </c>
      <c r="B542" t="s">
        <v>47</v>
      </c>
      <c r="C542">
        <v>6.8977275039210468</v>
      </c>
      <c r="D542">
        <v>91.050003051757812</v>
      </c>
      <c r="E542">
        <v>90.730003356933594</v>
      </c>
      <c r="F542">
        <f>(Table[[#This Row],[price_lag]] - Table[[#This Row],[price]]) / Table[[#This Row],[price]]</f>
        <v>-3.5145489741753595E-3</v>
      </c>
    </row>
    <row r="543" spans="1:6" hidden="1" x14ac:dyDescent="0.2">
      <c r="A543" t="s">
        <v>505</v>
      </c>
      <c r="B543" t="s">
        <v>48</v>
      </c>
      <c r="C543">
        <v>28.461574273979341</v>
      </c>
      <c r="D543">
        <v>51.893760681152337</v>
      </c>
      <c r="E543">
        <v>59.240779876708977</v>
      </c>
      <c r="F543">
        <f>(Table[[#This Row],[price_lag]] - Table[[#This Row],[price]]) / Table[[#This Row],[price]]</f>
        <v>0.14157808374495118</v>
      </c>
    </row>
    <row r="544" spans="1:6" hidden="1" x14ac:dyDescent="0.2">
      <c r="A544" t="s">
        <v>505</v>
      </c>
      <c r="B544" t="s">
        <v>49</v>
      </c>
      <c r="C544">
        <v>36.024647027673858</v>
      </c>
      <c r="D544">
        <v>102.30999755859381</v>
      </c>
      <c r="E544">
        <v>145.71000671386719</v>
      </c>
      <c r="F544">
        <f>(Table[[#This Row],[price_lag]] - Table[[#This Row],[price]]) / Table[[#This Row],[price]]</f>
        <v>0.4242010574813847</v>
      </c>
    </row>
    <row r="545" spans="1:6" hidden="1" x14ac:dyDescent="0.2">
      <c r="A545" t="s">
        <v>505</v>
      </c>
      <c r="B545" t="s">
        <v>50</v>
      </c>
      <c r="C545">
        <v>55.795212087877509</v>
      </c>
      <c r="D545">
        <v>318.58084106445312</v>
      </c>
      <c r="E545">
        <v>308.91958618164062</v>
      </c>
      <c r="F545">
        <f>(Table[[#This Row],[price_lag]] - Table[[#This Row],[price]]) / Table[[#This Row],[price]]</f>
        <v>-3.0325913041512439E-2</v>
      </c>
    </row>
    <row r="546" spans="1:6" hidden="1" x14ac:dyDescent="0.2">
      <c r="A546" t="s">
        <v>505</v>
      </c>
      <c r="B546" t="s">
        <v>51</v>
      </c>
      <c r="C546">
        <v>10.652085179867949</v>
      </c>
      <c r="D546">
        <v>195.99836730957031</v>
      </c>
      <c r="E546">
        <v>215.76458740234381</v>
      </c>
      <c r="F546">
        <f>(Table[[#This Row],[price_lag]] - Table[[#This Row],[price]]) / Table[[#This Row],[price]]</f>
        <v>0.10084890177454217</v>
      </c>
    </row>
    <row r="547" spans="1:6" hidden="1" x14ac:dyDescent="0.2">
      <c r="A547" t="s">
        <v>505</v>
      </c>
      <c r="B547" t="s">
        <v>52</v>
      </c>
      <c r="C547">
        <v>11.2983803595266</v>
      </c>
      <c r="D547">
        <v>28.01998329162598</v>
      </c>
      <c r="E547">
        <v>27.61544036865234</v>
      </c>
      <c r="F547">
        <f>(Table[[#This Row],[price_lag]] - Table[[#This Row],[price]]) / Table[[#This Row],[price]]</f>
        <v>-1.4437657537595362E-2</v>
      </c>
    </row>
    <row r="548" spans="1:6" hidden="1" x14ac:dyDescent="0.2">
      <c r="A548" t="s">
        <v>505</v>
      </c>
      <c r="B548" t="s">
        <v>53</v>
      </c>
      <c r="C548">
        <v>32.572147988865517</v>
      </c>
      <c r="D548">
        <v>152.4376525878906</v>
      </c>
      <c r="E548">
        <v>169.7751770019531</v>
      </c>
      <c r="F548">
        <f>(Table[[#This Row],[price_lag]] - Table[[#This Row],[price]]) / Table[[#This Row],[price]]</f>
        <v>0.11373518366183347</v>
      </c>
    </row>
    <row r="549" spans="1:6" hidden="1" x14ac:dyDescent="0.2">
      <c r="A549" t="s">
        <v>505</v>
      </c>
      <c r="B549" t="s">
        <v>54</v>
      </c>
      <c r="C549">
        <v>52.647960429288901</v>
      </c>
      <c r="D549">
        <v>309.57000732421881</v>
      </c>
      <c r="E549">
        <v>317.67001342773438</v>
      </c>
      <c r="F549">
        <f>(Table[[#This Row],[price_lag]] - Table[[#This Row],[price]]) / Table[[#This Row],[price]]</f>
        <v>2.6165345194543575E-2</v>
      </c>
    </row>
    <row r="550" spans="1:6" hidden="1" x14ac:dyDescent="0.2">
      <c r="A550" t="s">
        <v>505</v>
      </c>
      <c r="B550" t="s">
        <v>55</v>
      </c>
      <c r="C550">
        <v>34.021868024553569</v>
      </c>
      <c r="D550">
        <v>304.8359375</v>
      </c>
      <c r="E550">
        <v>291.61495971679688</v>
      </c>
      <c r="F550">
        <f>(Table[[#This Row],[price_lag]] - Table[[#This Row],[price]]) / Table[[#This Row],[price]]</f>
        <v>-4.3370797720341372E-2</v>
      </c>
    </row>
    <row r="551" spans="1:6" hidden="1" x14ac:dyDescent="0.2">
      <c r="A551" t="s">
        <v>505</v>
      </c>
      <c r="B551" t="s">
        <v>56</v>
      </c>
      <c r="C551">
        <v>25.545210435375381</v>
      </c>
      <c r="D551">
        <v>3712.22998046875</v>
      </c>
      <c r="E551">
        <v>4290.240234375</v>
      </c>
      <c r="F551">
        <f>(Table[[#This Row],[price_lag]] - Table[[#This Row],[price]]) / Table[[#This Row],[price]]</f>
        <v>0.15570432245506072</v>
      </c>
    </row>
    <row r="552" spans="1:6" hidden="1" x14ac:dyDescent="0.2">
      <c r="A552" t="s">
        <v>505</v>
      </c>
      <c r="B552" t="s">
        <v>57</v>
      </c>
      <c r="C552">
        <v>26.422294737800719</v>
      </c>
      <c r="D552">
        <v>199.75254821777341</v>
      </c>
      <c r="E552">
        <v>191.34271240234381</v>
      </c>
      <c r="F552">
        <f>(Table[[#This Row],[price_lag]] - Table[[#This Row],[price]]) / Table[[#This Row],[price]]</f>
        <v>-4.210126924769473E-2</v>
      </c>
    </row>
    <row r="553" spans="1:6" hidden="1" x14ac:dyDescent="0.2">
      <c r="A553" t="s">
        <v>505</v>
      </c>
      <c r="B553" t="s">
        <v>58</v>
      </c>
      <c r="C553">
        <v>17.915560935599039</v>
      </c>
      <c r="D553">
        <v>173.54338073730469</v>
      </c>
      <c r="E553">
        <v>161.28485107421881</v>
      </c>
      <c r="F553">
        <f>(Table[[#This Row],[price_lag]] - Table[[#This Row],[price]]) / Table[[#This Row],[price]]</f>
        <v>-7.0636688135295736E-2</v>
      </c>
    </row>
    <row r="554" spans="1:6" hidden="1" x14ac:dyDescent="0.2">
      <c r="A554" t="s">
        <v>505</v>
      </c>
      <c r="B554" t="s">
        <v>59</v>
      </c>
      <c r="C554">
        <v>449.967392631199</v>
      </c>
      <c r="D554">
        <v>827.94000244140625</v>
      </c>
      <c r="E554">
        <v>717.6400146484375</v>
      </c>
      <c r="F554">
        <f>(Table[[#This Row],[price_lag]] - Table[[#This Row],[price]]) / Table[[#This Row],[price]]</f>
        <v>-0.13322219903340729</v>
      </c>
    </row>
    <row r="555" spans="1:6" hidden="1" x14ac:dyDescent="0.2">
      <c r="A555" t="s">
        <v>505</v>
      </c>
      <c r="B555" t="s">
        <v>60</v>
      </c>
      <c r="C555">
        <v>13.365527945505059</v>
      </c>
      <c r="D555">
        <v>37.958099365234382</v>
      </c>
      <c r="E555">
        <v>48.4896240234375</v>
      </c>
      <c r="F555">
        <f>(Table[[#This Row],[price_lag]] - Table[[#This Row],[price]]) / Table[[#This Row],[price]]</f>
        <v>0.27745131696053477</v>
      </c>
    </row>
    <row r="556" spans="1:6" hidden="1" x14ac:dyDescent="0.2">
      <c r="A556" t="s">
        <v>505</v>
      </c>
      <c r="B556" t="s">
        <v>61</v>
      </c>
      <c r="C556">
        <v>18.068592269699291</v>
      </c>
      <c r="D556">
        <v>55.651264190673828</v>
      </c>
      <c r="E556">
        <v>50.216403961181641</v>
      </c>
      <c r="F556">
        <f>(Table[[#This Row],[price_lag]] - Table[[#This Row],[price]]) / Table[[#This Row],[price]]</f>
        <v>-9.7659241142683234E-2</v>
      </c>
    </row>
    <row r="557" spans="1:6" hidden="1" x14ac:dyDescent="0.2">
      <c r="A557" t="s">
        <v>505</v>
      </c>
      <c r="B557" t="s">
        <v>62</v>
      </c>
      <c r="C557">
        <v>13.004157808091909</v>
      </c>
      <c r="D557">
        <v>46.814968109130859</v>
      </c>
      <c r="E557">
        <v>51.323287963867188</v>
      </c>
      <c r="F557">
        <f>(Table[[#This Row],[price_lag]] - Table[[#This Row],[price]]) / Table[[#This Row],[price]]</f>
        <v>9.6300820802161749E-2</v>
      </c>
    </row>
    <row r="558" spans="1:6" hidden="1" x14ac:dyDescent="0.2">
      <c r="A558" t="s">
        <v>505</v>
      </c>
      <c r="B558" t="s">
        <v>63</v>
      </c>
      <c r="C558">
        <v>41.740462515089249</v>
      </c>
      <c r="D558">
        <v>30.053133010864261</v>
      </c>
      <c r="E558">
        <v>22.75795936584473</v>
      </c>
      <c r="F558">
        <f>(Table[[#This Row],[price_lag]] - Table[[#This Row],[price]]) / Table[[#This Row],[price]]</f>
        <v>-0.2427425334450925</v>
      </c>
    </row>
    <row r="559" spans="1:6" hidden="1" x14ac:dyDescent="0.2">
      <c r="A559" t="s">
        <v>505</v>
      </c>
      <c r="B559" t="s">
        <v>64</v>
      </c>
      <c r="C559">
        <v>21.298931121826168</v>
      </c>
      <c r="D559">
        <v>170.3914489746094</v>
      </c>
      <c r="E559">
        <v>186.15675354003909</v>
      </c>
      <c r="F559">
        <f>(Table[[#This Row],[price_lag]] - Table[[#This Row],[price]]) / Table[[#This Row],[price]]</f>
        <v>9.2524036037623741E-2</v>
      </c>
    </row>
    <row r="560" spans="1:6" hidden="1" x14ac:dyDescent="0.2">
      <c r="A560" t="s">
        <v>505</v>
      </c>
      <c r="B560" t="s">
        <v>65</v>
      </c>
      <c r="C560">
        <v>21.17935711812811</v>
      </c>
      <c r="D560">
        <v>485.76998901367188</v>
      </c>
      <c r="E560">
        <v>502.739990234375</v>
      </c>
      <c r="F560">
        <f>(Table[[#This Row],[price_lag]] - Table[[#This Row],[price]]) / Table[[#This Row],[price]]</f>
        <v>3.4934231435663078E-2</v>
      </c>
    </row>
    <row r="561" spans="1:6" hidden="1" x14ac:dyDescent="0.2">
      <c r="A561" t="s">
        <v>505</v>
      </c>
      <c r="B561" t="s">
        <v>66</v>
      </c>
      <c r="C561">
        <v>18.58250878073952</v>
      </c>
      <c r="D561">
        <v>65.410430908203125</v>
      </c>
      <c r="E561">
        <v>74.634422302246094</v>
      </c>
      <c r="F561">
        <f>(Table[[#This Row],[price_lag]] - Table[[#This Row],[price]]) / Table[[#This Row],[price]]</f>
        <v>0.14101713237431351</v>
      </c>
    </row>
    <row r="562" spans="1:6" hidden="1" x14ac:dyDescent="0.2">
      <c r="A562" t="s">
        <v>505</v>
      </c>
      <c r="B562" t="s">
        <v>67</v>
      </c>
      <c r="C562">
        <v>0</v>
      </c>
      <c r="D562">
        <v>51.303997039794922</v>
      </c>
      <c r="E562">
        <v>55.5550537109375</v>
      </c>
      <c r="F562">
        <f>(Table[[#This Row],[price_lag]] - Table[[#This Row],[price]]) / Table[[#This Row],[price]]</f>
        <v>8.2860145727927687E-2</v>
      </c>
    </row>
    <row r="563" spans="1:6" hidden="1" x14ac:dyDescent="0.2">
      <c r="A563" t="s">
        <v>505</v>
      </c>
      <c r="B563" t="s">
        <v>68</v>
      </c>
      <c r="C563">
        <v>7.2511545229728993</v>
      </c>
      <c r="D563">
        <v>125.5899963378906</v>
      </c>
      <c r="E563">
        <v>140.08000183105469</v>
      </c>
      <c r="F563">
        <f>(Table[[#This Row],[price_lag]] - Table[[#This Row],[price]]) / Table[[#This Row],[price]]</f>
        <v>0.11537547508306158</v>
      </c>
    </row>
    <row r="564" spans="1:6" hidden="1" x14ac:dyDescent="0.2">
      <c r="A564" t="s">
        <v>505</v>
      </c>
      <c r="B564" t="s">
        <v>69</v>
      </c>
      <c r="C564">
        <v>25.249298066045618</v>
      </c>
      <c r="D564">
        <v>1039.261108398438</v>
      </c>
      <c r="E564">
        <v>1160.22265625</v>
      </c>
      <c r="F564">
        <f>(Table[[#This Row],[price_lag]] - Table[[#This Row],[price]]) / Table[[#This Row],[price]]</f>
        <v>0.11639187387467126</v>
      </c>
    </row>
    <row r="565" spans="1:6" hidden="1" x14ac:dyDescent="0.2">
      <c r="A565" t="s">
        <v>505</v>
      </c>
      <c r="B565" t="s">
        <v>70</v>
      </c>
      <c r="C565">
        <v>37.593864908023747</v>
      </c>
      <c r="D565">
        <v>147.3679504394531</v>
      </c>
      <c r="E565">
        <v>169.34703063964841</v>
      </c>
      <c r="F565">
        <f>(Table[[#This Row],[price_lag]] - Table[[#This Row],[price]]) / Table[[#This Row],[price]]</f>
        <v>0.14914423478547009</v>
      </c>
    </row>
    <row r="566" spans="1:6" hidden="1" x14ac:dyDescent="0.2">
      <c r="A566" t="s">
        <v>505</v>
      </c>
      <c r="B566" t="s">
        <v>71</v>
      </c>
      <c r="C566">
        <v>19.298295541243121</v>
      </c>
      <c r="D566">
        <v>67.930000305175781</v>
      </c>
      <c r="E566">
        <v>72.269996643066406</v>
      </c>
      <c r="F566">
        <f>(Table[[#This Row],[price_lag]] - Table[[#This Row],[price]]) / Table[[#This Row],[price]]</f>
        <v>6.3889243609497645E-2</v>
      </c>
    </row>
    <row r="567" spans="1:6" hidden="1" x14ac:dyDescent="0.2">
      <c r="A567" t="s">
        <v>505</v>
      </c>
      <c r="B567" t="s">
        <v>72</v>
      </c>
      <c r="C567">
        <v>11.51083139272836</v>
      </c>
      <c r="D567">
        <v>89.78448486328125</v>
      </c>
      <c r="E567">
        <v>107.94708251953119</v>
      </c>
      <c r="F567">
        <f>(Table[[#This Row],[price_lag]] - Table[[#This Row],[price]]) / Table[[#This Row],[price]]</f>
        <v>0.20229104932669517</v>
      </c>
    </row>
    <row r="568" spans="1:6" hidden="1" x14ac:dyDescent="0.2">
      <c r="A568" t="s">
        <v>505</v>
      </c>
      <c r="B568" t="s">
        <v>73</v>
      </c>
      <c r="C568">
        <v>0</v>
      </c>
      <c r="D568">
        <v>209.5299987792969</v>
      </c>
      <c r="E568">
        <v>215.83000183105469</v>
      </c>
      <c r="F568">
        <f>(Table[[#This Row],[price_lag]] - Table[[#This Row],[price]]) / Table[[#This Row],[price]]</f>
        <v>3.0067308206276143E-2</v>
      </c>
    </row>
    <row r="569" spans="1:6" hidden="1" x14ac:dyDescent="0.2">
      <c r="A569" t="s">
        <v>505</v>
      </c>
      <c r="B569" t="s">
        <v>74</v>
      </c>
      <c r="C569">
        <v>52.362512659143519</v>
      </c>
      <c r="D569">
        <v>5768.25439453125</v>
      </c>
      <c r="E569">
        <v>5388.95947265625</v>
      </c>
      <c r="F569">
        <f>(Table[[#This Row],[price_lag]] - Table[[#This Row],[price]]) / Table[[#This Row],[price]]</f>
        <v>-6.5755581486593384E-2</v>
      </c>
    </row>
    <row r="570" spans="1:6" hidden="1" x14ac:dyDescent="0.2">
      <c r="A570" t="s">
        <v>505</v>
      </c>
      <c r="B570" t="s">
        <v>75</v>
      </c>
      <c r="C570">
        <v>49.726853547272853</v>
      </c>
      <c r="D570">
        <v>107.4100036621094</v>
      </c>
      <c r="E570">
        <v>97.629997253417969</v>
      </c>
      <c r="F570">
        <f>(Table[[#This Row],[price_lag]] - Table[[#This Row],[price]]) / Table[[#This Row],[price]]</f>
        <v>-9.1053031144635255E-2</v>
      </c>
    </row>
    <row r="571" spans="1:6" hidden="1" x14ac:dyDescent="0.2">
      <c r="A571" t="s">
        <v>505</v>
      </c>
      <c r="B571" t="s">
        <v>76</v>
      </c>
      <c r="C571">
        <v>17.399078607559201</v>
      </c>
      <c r="D571">
        <v>44.541641235351562</v>
      </c>
      <c r="E571">
        <v>43.968929290771477</v>
      </c>
      <c r="F571">
        <f>(Table[[#This Row],[price_lag]] - Table[[#This Row],[price]]) / Table[[#This Row],[price]]</f>
        <v>-1.285789945534244E-2</v>
      </c>
    </row>
    <row r="572" spans="1:6" hidden="1" x14ac:dyDescent="0.2">
      <c r="A572" t="s">
        <v>505</v>
      </c>
      <c r="B572" t="s">
        <v>77</v>
      </c>
      <c r="C572">
        <v>78.026424754749641</v>
      </c>
      <c r="D572">
        <v>274.65301513671881</v>
      </c>
      <c r="E572">
        <v>329.27996826171881</v>
      </c>
      <c r="F572">
        <f>(Table[[#This Row],[price_lag]] - Table[[#This Row],[price]]) / Table[[#This Row],[price]]</f>
        <v>0.19889442356133388</v>
      </c>
    </row>
    <row r="573" spans="1:6" hidden="1" x14ac:dyDescent="0.2">
      <c r="A573" t="s">
        <v>505</v>
      </c>
      <c r="B573" t="s">
        <v>78</v>
      </c>
      <c r="C573">
        <v>18.892087308590689</v>
      </c>
      <c r="D573">
        <v>241.06303405761719</v>
      </c>
      <c r="E573">
        <v>237.1669006347656</v>
      </c>
      <c r="F573">
        <f>(Table[[#This Row],[price_lag]] - Table[[#This Row],[price]]) / Table[[#This Row],[price]]</f>
        <v>-1.6162301441540659E-2</v>
      </c>
    </row>
    <row r="574" spans="1:6" hidden="1" x14ac:dyDescent="0.2">
      <c r="A574" t="s">
        <v>505</v>
      </c>
      <c r="B574" t="s">
        <v>79</v>
      </c>
      <c r="C574">
        <v>34.956734089911727</v>
      </c>
      <c r="D574">
        <v>110.46327972412109</v>
      </c>
      <c r="E574">
        <v>93.594085693359375</v>
      </c>
      <c r="F574">
        <f>(Table[[#This Row],[price_lag]] - Table[[#This Row],[price]]) / Table[[#This Row],[price]]</f>
        <v>-0.15271313755025245</v>
      </c>
    </row>
    <row r="575" spans="1:6" hidden="1" x14ac:dyDescent="0.2">
      <c r="A575" t="s">
        <v>505</v>
      </c>
      <c r="B575" t="s">
        <v>80</v>
      </c>
      <c r="C575">
        <v>18.397710058424209</v>
      </c>
      <c r="D575">
        <v>26.492702484130859</v>
      </c>
      <c r="E575">
        <v>26.869379043579102</v>
      </c>
      <c r="F575">
        <f>(Table[[#This Row],[price_lag]] - Table[[#This Row],[price]]) / Table[[#This Row],[price]]</f>
        <v>1.4218125148760178E-2</v>
      </c>
    </row>
    <row r="576" spans="1:6" hidden="1" x14ac:dyDescent="0.2">
      <c r="A576" t="s">
        <v>505</v>
      </c>
      <c r="B576" t="s">
        <v>81</v>
      </c>
      <c r="C576">
        <v>17.468563239731481</v>
      </c>
      <c r="D576">
        <v>116.69000244140619</v>
      </c>
      <c r="E576">
        <v>121.25</v>
      </c>
      <c r="F576">
        <f>(Table[[#This Row],[price_lag]] - Table[[#This Row],[price]]) / Table[[#This Row],[price]]</f>
        <v>3.9077876966225347E-2</v>
      </c>
    </row>
    <row r="577" spans="1:6" hidden="1" x14ac:dyDescent="0.2">
      <c r="A577" t="s">
        <v>505</v>
      </c>
      <c r="B577" t="s">
        <v>82</v>
      </c>
      <c r="C577">
        <v>7.500460345774437</v>
      </c>
      <c r="D577">
        <v>79.002288818359375</v>
      </c>
      <c r="E577">
        <v>80.657615661621094</v>
      </c>
      <c r="F577">
        <f>(Table[[#This Row],[price_lag]] - Table[[#This Row],[price]]) / Table[[#This Row],[price]]</f>
        <v>2.0952897289692657E-2</v>
      </c>
    </row>
    <row r="578" spans="1:6" hidden="1" x14ac:dyDescent="0.2">
      <c r="A578" t="s">
        <v>505</v>
      </c>
      <c r="B578" t="s">
        <v>83</v>
      </c>
      <c r="C578">
        <v>29.539237703595841</v>
      </c>
      <c r="D578">
        <v>66.167892456054688</v>
      </c>
      <c r="E578">
        <v>73.588760375976562</v>
      </c>
      <c r="F578">
        <f>(Table[[#This Row],[price_lag]] - Table[[#This Row],[price]]) / Table[[#This Row],[price]]</f>
        <v>0.11215209740661505</v>
      </c>
    </row>
    <row r="579" spans="1:6" hidden="1" x14ac:dyDescent="0.2">
      <c r="A579" t="s">
        <v>505</v>
      </c>
      <c r="B579" t="s">
        <v>84</v>
      </c>
      <c r="C579">
        <v>18.721269622562438</v>
      </c>
      <c r="D579">
        <v>95.104049682617188</v>
      </c>
      <c r="E579">
        <v>131.87223815917969</v>
      </c>
      <c r="F579">
        <f>(Table[[#This Row],[price_lag]] - Table[[#This Row],[price]]) / Table[[#This Row],[price]]</f>
        <v>0.38661012437709968</v>
      </c>
    </row>
    <row r="580" spans="1:6" hidden="1" x14ac:dyDescent="0.2">
      <c r="A580" t="s">
        <v>505</v>
      </c>
      <c r="B580" t="s">
        <v>85</v>
      </c>
      <c r="C580">
        <v>130.5720313120697</v>
      </c>
      <c r="D580">
        <v>308.14999389648438</v>
      </c>
      <c r="E580">
        <v>351.260009765625</v>
      </c>
      <c r="F580">
        <f>(Table[[#This Row],[price_lag]] - Table[[#This Row],[price]]) / Table[[#This Row],[price]]</f>
        <v>0.13989945391211789</v>
      </c>
    </row>
    <row r="581" spans="1:6" hidden="1" x14ac:dyDescent="0.2">
      <c r="A581" t="s">
        <v>505</v>
      </c>
      <c r="B581" t="s">
        <v>86</v>
      </c>
      <c r="C581">
        <v>0</v>
      </c>
      <c r="D581">
        <v>28.389999389648441</v>
      </c>
      <c r="E581">
        <v>27.02499961853027</v>
      </c>
      <c r="F581">
        <f>(Table[[#This Row],[price_lag]] - Table[[#This Row],[price]]) / Table[[#This Row],[price]]</f>
        <v>-4.8080302939910495E-2</v>
      </c>
    </row>
    <row r="582" spans="1:6" hidden="1" x14ac:dyDescent="0.2">
      <c r="A582" t="s">
        <v>505</v>
      </c>
      <c r="B582" t="s">
        <v>87</v>
      </c>
      <c r="C582">
        <v>37.320281363822318</v>
      </c>
      <c r="D582">
        <v>110.46803283691411</v>
      </c>
      <c r="E582">
        <v>105.7163467407227</v>
      </c>
      <c r="F582">
        <f>(Table[[#This Row],[price_lag]] - Table[[#This Row],[price]]) / Table[[#This Row],[price]]</f>
        <v>-4.3014127926097892E-2</v>
      </c>
    </row>
    <row r="583" spans="1:6" hidden="1" x14ac:dyDescent="0.2">
      <c r="A583" t="s">
        <v>505</v>
      </c>
      <c r="B583" t="s">
        <v>88</v>
      </c>
      <c r="C583">
        <v>15.031883667926399</v>
      </c>
      <c r="D583">
        <v>29.462491989135739</v>
      </c>
      <c r="E583">
        <v>30.731704711914059</v>
      </c>
      <c r="F583">
        <f>(Table[[#This Row],[price_lag]] - Table[[#This Row],[price]]) / Table[[#This Row],[price]]</f>
        <v>4.3078933148164827E-2</v>
      </c>
    </row>
    <row r="584" spans="1:6" hidden="1" x14ac:dyDescent="0.2">
      <c r="A584" t="s">
        <v>505</v>
      </c>
      <c r="B584" t="s">
        <v>89</v>
      </c>
      <c r="C584">
        <v>0</v>
      </c>
      <c r="D584">
        <v>211.378662109375</v>
      </c>
      <c r="E584">
        <v>211.77458190917969</v>
      </c>
      <c r="F584">
        <f>(Table[[#This Row],[price_lag]] - Table[[#This Row],[price]]) / Table[[#This Row],[price]]</f>
        <v>1.8730357920414135E-3</v>
      </c>
    </row>
    <row r="585" spans="1:6" hidden="1" x14ac:dyDescent="0.2">
      <c r="A585" t="s">
        <v>505</v>
      </c>
      <c r="B585" t="s">
        <v>90</v>
      </c>
      <c r="C585">
        <v>41.219949250174039</v>
      </c>
      <c r="D585">
        <v>166.5285949707031</v>
      </c>
      <c r="E585">
        <v>156.0599670410156</v>
      </c>
      <c r="F585">
        <f>(Table[[#This Row],[price_lag]] - Table[[#This Row],[price]]) / Table[[#This Row],[price]]</f>
        <v>-6.2863845885021821E-2</v>
      </c>
    </row>
    <row r="586" spans="1:6" hidden="1" x14ac:dyDescent="0.2">
      <c r="A586" t="s">
        <v>505</v>
      </c>
      <c r="B586" t="s">
        <v>91</v>
      </c>
      <c r="C586">
        <v>12.175724471824759</v>
      </c>
      <c r="D586">
        <v>67.209999084472656</v>
      </c>
      <c r="E586">
        <v>44.869998931884773</v>
      </c>
      <c r="F586">
        <f>(Table[[#This Row],[price_lag]] - Table[[#This Row],[price]]) / Table[[#This Row],[price]]</f>
        <v>-0.33239102004018672</v>
      </c>
    </row>
    <row r="587" spans="1:6" hidden="1" x14ac:dyDescent="0.2">
      <c r="A587" t="s">
        <v>505</v>
      </c>
      <c r="B587" t="s">
        <v>92</v>
      </c>
      <c r="C587">
        <v>16.348837697228721</v>
      </c>
      <c r="D587">
        <v>28.120000839233398</v>
      </c>
      <c r="E587">
        <v>28.909999847412109</v>
      </c>
      <c r="F587">
        <f>(Table[[#This Row],[price_lag]] - Table[[#This Row],[price]]) / Table[[#This Row],[price]]</f>
        <v>2.8093847247561025E-2</v>
      </c>
    </row>
    <row r="588" spans="1:6" hidden="1" x14ac:dyDescent="0.2">
      <c r="A588" t="s">
        <v>505</v>
      </c>
      <c r="B588" t="s">
        <v>93</v>
      </c>
      <c r="C588">
        <v>26.226477692092679</v>
      </c>
      <c r="D588">
        <v>72.385078430175781</v>
      </c>
      <c r="E588">
        <v>59.217311859130859</v>
      </c>
      <c r="F588">
        <f>(Table[[#This Row],[price_lag]] - Table[[#This Row],[price]]) / Table[[#This Row],[price]]</f>
        <v>-0.18191272091729285</v>
      </c>
    </row>
    <row r="589" spans="1:6" hidden="1" x14ac:dyDescent="0.2">
      <c r="A589" t="s">
        <v>505</v>
      </c>
      <c r="B589" t="s">
        <v>94</v>
      </c>
      <c r="C589">
        <v>20.73193418568578</v>
      </c>
      <c r="D589">
        <v>384.78469848632812</v>
      </c>
      <c r="E589">
        <v>474.67245483398438</v>
      </c>
      <c r="F589">
        <f>(Table[[#This Row],[price_lag]] - Table[[#This Row],[price]]) / Table[[#This Row],[price]]</f>
        <v>0.23360532968503703</v>
      </c>
    </row>
    <row r="590" spans="1:6" hidden="1" x14ac:dyDescent="0.2">
      <c r="A590" t="s">
        <v>505</v>
      </c>
      <c r="B590" t="s">
        <v>95</v>
      </c>
      <c r="C590">
        <v>26.144619586756409</v>
      </c>
      <c r="D590">
        <v>233.21000671386719</v>
      </c>
      <c r="E590">
        <v>245.25</v>
      </c>
      <c r="F590">
        <f>(Table[[#This Row],[price_lag]] - Table[[#This Row],[price]]) / Table[[#This Row],[price]]</f>
        <v>5.1627258434519346E-2</v>
      </c>
    </row>
    <row r="591" spans="1:6" hidden="1" x14ac:dyDescent="0.2">
      <c r="A591" t="s">
        <v>505</v>
      </c>
      <c r="B591" t="s">
        <v>96</v>
      </c>
      <c r="C591">
        <v>48.652776082356773</v>
      </c>
      <c r="D591">
        <v>140.1199951171875</v>
      </c>
      <c r="E591">
        <v>157.55999755859381</v>
      </c>
      <c r="F591">
        <f>(Table[[#This Row],[price_lag]] - Table[[#This Row],[price]]) / Table[[#This Row],[price]]</f>
        <v>0.12446476626566103</v>
      </c>
    </row>
    <row r="592" spans="1:6" hidden="1" x14ac:dyDescent="0.2">
      <c r="A592" t="s">
        <v>505</v>
      </c>
      <c r="B592" t="s">
        <v>97</v>
      </c>
      <c r="C592">
        <v>21.496578327660419</v>
      </c>
      <c r="D592">
        <v>177.1318054199219</v>
      </c>
      <c r="E592">
        <v>158.57293701171881</v>
      </c>
      <c r="F592">
        <f>(Table[[#This Row],[price_lag]] - Table[[#This Row],[price]]) / Table[[#This Row],[price]]</f>
        <v>-0.1047743422713163</v>
      </c>
    </row>
    <row r="593" spans="1:6" hidden="1" x14ac:dyDescent="0.2">
      <c r="A593" t="s">
        <v>505</v>
      </c>
      <c r="B593" t="s">
        <v>98</v>
      </c>
      <c r="C593">
        <v>21.042207529847051</v>
      </c>
      <c r="D593">
        <v>298.79934692382812</v>
      </c>
      <c r="E593">
        <v>312.01687622070312</v>
      </c>
      <c r="F593">
        <f>(Table[[#This Row],[price_lag]] - Table[[#This Row],[price]]) / Table[[#This Row],[price]]</f>
        <v>4.4235469163339564E-2</v>
      </c>
    </row>
    <row r="594" spans="1:6" hidden="1" x14ac:dyDescent="0.2">
      <c r="A594" t="s">
        <v>505</v>
      </c>
      <c r="B594" t="s">
        <v>99</v>
      </c>
      <c r="C594">
        <v>0</v>
      </c>
      <c r="D594">
        <v>54.279998779296882</v>
      </c>
      <c r="E594">
        <v>35.680000305175781</v>
      </c>
      <c r="F594">
        <f>(Table[[#This Row],[price_lag]] - Table[[#This Row],[price]]) / Table[[#This Row],[price]]</f>
        <v>-0.34266762882123331</v>
      </c>
    </row>
    <row r="595" spans="1:6" hidden="1" x14ac:dyDescent="0.2">
      <c r="A595" t="s">
        <v>505</v>
      </c>
      <c r="B595" t="s">
        <v>100</v>
      </c>
      <c r="C595">
        <v>30.272636413574219</v>
      </c>
      <c r="D595">
        <v>36.327163696289062</v>
      </c>
      <c r="E595">
        <v>38.584499359130859</v>
      </c>
      <c r="F595">
        <f>(Table[[#This Row],[price_lag]] - Table[[#This Row],[price]]) / Table[[#This Row],[price]]</f>
        <v>6.2139056099014718E-2</v>
      </c>
    </row>
    <row r="596" spans="1:6" hidden="1" x14ac:dyDescent="0.2">
      <c r="A596" t="s">
        <v>505</v>
      </c>
      <c r="B596" t="s">
        <v>101</v>
      </c>
      <c r="C596">
        <v>9.5905336146616236</v>
      </c>
      <c r="D596">
        <v>90.918258666992188</v>
      </c>
      <c r="E596">
        <v>89.16815185546875</v>
      </c>
      <c r="F596">
        <f>(Table[[#This Row],[price_lag]] - Table[[#This Row],[price]]) / Table[[#This Row],[price]]</f>
        <v>-1.9249233731296844E-2</v>
      </c>
    </row>
    <row r="597" spans="1:6" hidden="1" x14ac:dyDescent="0.2">
      <c r="A597" t="s">
        <v>505</v>
      </c>
      <c r="B597" t="s">
        <v>102</v>
      </c>
      <c r="C597">
        <v>35.785376350834682</v>
      </c>
      <c r="D597">
        <v>151.72999572753909</v>
      </c>
      <c r="E597">
        <v>156.46000671386719</v>
      </c>
      <c r="F597">
        <f>(Table[[#This Row],[price_lag]] - Table[[#This Row],[price]]) / Table[[#This Row],[price]]</f>
        <v>3.1173868842794654E-2</v>
      </c>
    </row>
    <row r="598" spans="1:6" hidden="1" x14ac:dyDescent="0.2">
      <c r="A598" t="s">
        <v>505</v>
      </c>
      <c r="B598" t="s">
        <v>103</v>
      </c>
      <c r="C598">
        <v>20.80865912481185</v>
      </c>
      <c r="D598">
        <v>90.725753784179688</v>
      </c>
      <c r="E598">
        <v>95.199684143066406</v>
      </c>
      <c r="F598">
        <f>(Table[[#This Row],[price_lag]] - Table[[#This Row],[price]]) / Table[[#This Row],[price]]</f>
        <v>4.9312683249007748E-2</v>
      </c>
    </row>
    <row r="599" spans="1:6" hidden="1" x14ac:dyDescent="0.2">
      <c r="A599" t="s">
        <v>505</v>
      </c>
      <c r="B599" t="s">
        <v>104</v>
      </c>
      <c r="C599">
        <v>10.861052007401531</v>
      </c>
      <c r="D599">
        <v>408.80999755859381</v>
      </c>
      <c r="E599">
        <v>275.1099853515625</v>
      </c>
      <c r="F599">
        <f>(Table[[#This Row],[price_lag]] - Table[[#This Row],[price]]) / Table[[#This Row],[price]]</f>
        <v>-0.32704682616737712</v>
      </c>
    </row>
    <row r="600" spans="1:6" hidden="1" x14ac:dyDescent="0.2">
      <c r="A600" t="s">
        <v>505</v>
      </c>
      <c r="B600" t="s">
        <v>105</v>
      </c>
      <c r="C600">
        <v>24.146452278926461</v>
      </c>
      <c r="D600">
        <v>140.04942321777341</v>
      </c>
      <c r="E600">
        <v>153.5747985839844</v>
      </c>
      <c r="F600">
        <f>(Table[[#This Row],[price_lag]] - Table[[#This Row],[price]]) / Table[[#This Row],[price]]</f>
        <v>9.6575730591759515E-2</v>
      </c>
    </row>
    <row r="601" spans="1:6" hidden="1" x14ac:dyDescent="0.2">
      <c r="A601" t="s">
        <v>505</v>
      </c>
      <c r="B601" t="s">
        <v>106</v>
      </c>
      <c r="C601">
        <v>43.867188692092903</v>
      </c>
      <c r="D601">
        <v>56.150001525878913</v>
      </c>
      <c r="E601">
        <v>39.189998626708977</v>
      </c>
      <c r="F601">
        <f>(Table[[#This Row],[price_lag]] - Table[[#This Row],[price]]) / Table[[#This Row],[price]]</f>
        <v>-0.3020481289097251</v>
      </c>
    </row>
    <row r="602" spans="1:6" hidden="1" x14ac:dyDescent="0.2">
      <c r="A602" t="s">
        <v>505</v>
      </c>
      <c r="B602" t="s">
        <v>107</v>
      </c>
      <c r="C602">
        <v>9.7287737050946888</v>
      </c>
      <c r="D602">
        <v>289.72000122070312</v>
      </c>
      <c r="E602">
        <v>282.25</v>
      </c>
      <c r="F602">
        <f>(Table[[#This Row],[price_lag]] - Table[[#This Row],[price]]) / Table[[#This Row],[price]]</f>
        <v>-2.5783519222798229E-2</v>
      </c>
    </row>
    <row r="603" spans="1:6" hidden="1" x14ac:dyDescent="0.2">
      <c r="A603" t="s">
        <v>505</v>
      </c>
      <c r="B603" t="s">
        <v>108</v>
      </c>
      <c r="C603">
        <v>30.599706600873901</v>
      </c>
      <c r="D603">
        <v>95.471084594726562</v>
      </c>
      <c r="E603">
        <v>87.325653076171875</v>
      </c>
      <c r="F603">
        <f>(Table[[#This Row],[price_lag]] - Table[[#This Row],[price]]) / Table[[#This Row],[price]]</f>
        <v>-8.5318309236057516E-2</v>
      </c>
    </row>
    <row r="604" spans="1:6" hidden="1" x14ac:dyDescent="0.2">
      <c r="A604" t="s">
        <v>505</v>
      </c>
      <c r="B604" t="s">
        <v>109</v>
      </c>
      <c r="C604">
        <v>14.19624090194702</v>
      </c>
      <c r="D604">
        <v>327.08139038085938</v>
      </c>
      <c r="E604">
        <v>286.63983154296881</v>
      </c>
      <c r="F604">
        <f>(Table[[#This Row],[price_lag]] - Table[[#This Row],[price]]) / Table[[#This Row],[price]]</f>
        <v>-0.12364371690728017</v>
      </c>
    </row>
    <row r="605" spans="1:6" hidden="1" x14ac:dyDescent="0.2">
      <c r="A605" t="s">
        <v>505</v>
      </c>
      <c r="B605" t="s">
        <v>110</v>
      </c>
      <c r="C605">
        <v>8.4086709915230813</v>
      </c>
      <c r="D605">
        <v>147.3199157714844</v>
      </c>
      <c r="E605">
        <v>157.2778015136719</v>
      </c>
      <c r="F605">
        <f>(Table[[#This Row],[price_lag]] - Table[[#This Row],[price]]) / Table[[#This Row],[price]]</f>
        <v>6.7593615500253848E-2</v>
      </c>
    </row>
    <row r="606" spans="1:6" hidden="1" x14ac:dyDescent="0.2">
      <c r="A606" t="s">
        <v>505</v>
      </c>
      <c r="B606" t="s">
        <v>111</v>
      </c>
      <c r="C606">
        <v>49.973939775346629</v>
      </c>
      <c r="D606">
        <v>221.88429260253909</v>
      </c>
      <c r="E606">
        <v>204.76844787597659</v>
      </c>
      <c r="F606">
        <f>(Table[[#This Row],[price_lag]] - Table[[#This Row],[price]]) / Table[[#This Row],[price]]</f>
        <v>-7.7138604656536366E-2</v>
      </c>
    </row>
    <row r="607" spans="1:6" hidden="1" x14ac:dyDescent="0.2">
      <c r="A607" t="s">
        <v>505</v>
      </c>
      <c r="B607" t="s">
        <v>112</v>
      </c>
      <c r="C607">
        <v>24.009323120117191</v>
      </c>
      <c r="D607">
        <v>68.186477661132812</v>
      </c>
      <c r="E607">
        <v>67.647346496582031</v>
      </c>
      <c r="F607">
        <f>(Table[[#This Row],[price_lag]] - Table[[#This Row],[price]]) / Table[[#This Row],[price]]</f>
        <v>-7.9067167427258542E-3</v>
      </c>
    </row>
    <row r="608" spans="1:6" hidden="1" x14ac:dyDescent="0.2">
      <c r="A608" t="s">
        <v>505</v>
      </c>
      <c r="B608" t="s">
        <v>113</v>
      </c>
      <c r="C608">
        <v>10.58999553413844</v>
      </c>
      <c r="D608">
        <v>84.0626220703125</v>
      </c>
      <c r="E608">
        <v>100.8983993530273</v>
      </c>
      <c r="F608">
        <f>(Table[[#This Row],[price_lag]] - Table[[#This Row],[price]]) / Table[[#This Row],[price]]</f>
        <v>0.20027661364920132</v>
      </c>
    </row>
    <row r="609" spans="1:6" hidden="1" x14ac:dyDescent="0.2">
      <c r="A609" t="s">
        <v>505</v>
      </c>
      <c r="B609" t="s">
        <v>114</v>
      </c>
      <c r="C609">
        <v>11.81892887238533</v>
      </c>
      <c r="D609">
        <v>43.966415405273438</v>
      </c>
      <c r="E609">
        <v>52.683601379394531</v>
      </c>
      <c r="F609">
        <f>(Table[[#This Row],[price_lag]] - Table[[#This Row],[price]]) / Table[[#This Row],[price]]</f>
        <v>0.1982691992005228</v>
      </c>
    </row>
    <row r="610" spans="1:6" hidden="1" x14ac:dyDescent="0.2">
      <c r="A610" t="s">
        <v>505</v>
      </c>
      <c r="B610" t="s">
        <v>115</v>
      </c>
      <c r="C610">
        <v>10.89152159514251</v>
      </c>
      <c r="D610">
        <v>117.62843322753911</v>
      </c>
      <c r="E610">
        <v>122.0247344970703</v>
      </c>
      <c r="F610">
        <f>(Table[[#This Row],[price_lag]] - Table[[#This Row],[price]]) / Table[[#This Row],[price]]</f>
        <v>3.7374477827372216E-2</v>
      </c>
    </row>
    <row r="611" spans="1:6" hidden="1" x14ac:dyDescent="0.2">
      <c r="A611" t="s">
        <v>505</v>
      </c>
      <c r="B611" t="s">
        <v>116</v>
      </c>
      <c r="C611">
        <v>24.292632948037149</v>
      </c>
      <c r="D611">
        <v>273.0491943359375</v>
      </c>
      <c r="E611">
        <v>268.9501953125</v>
      </c>
      <c r="F611">
        <f>(Table[[#This Row],[price_lag]] - Table[[#This Row],[price]]) / Table[[#This Row],[price]]</f>
        <v>-1.5011943299837851E-2</v>
      </c>
    </row>
    <row r="612" spans="1:6" hidden="1" x14ac:dyDescent="0.2">
      <c r="A612" t="s">
        <v>505</v>
      </c>
      <c r="B612" t="s">
        <v>117</v>
      </c>
      <c r="C612">
        <v>25.79536621127702</v>
      </c>
      <c r="D612">
        <v>68.259078979492188</v>
      </c>
      <c r="E612">
        <v>72.710174560546875</v>
      </c>
      <c r="F612">
        <f>(Table[[#This Row],[price_lag]] - Table[[#This Row],[price]]) / Table[[#This Row],[price]]</f>
        <v>6.5208843242552078E-2</v>
      </c>
    </row>
    <row r="613" spans="1:6" hidden="1" x14ac:dyDescent="0.2">
      <c r="A613" t="s">
        <v>505</v>
      </c>
      <c r="B613" t="s">
        <v>118</v>
      </c>
      <c r="C613">
        <v>19.584782203931489</v>
      </c>
      <c r="D613">
        <v>69.721824645996094</v>
      </c>
      <c r="E613">
        <v>65.857429504394531</v>
      </c>
      <c r="F613">
        <f>(Table[[#This Row],[price_lag]] - Table[[#This Row],[price]]) / Table[[#This Row],[price]]</f>
        <v>-5.5425903742802901E-2</v>
      </c>
    </row>
    <row r="614" spans="1:6" hidden="1" x14ac:dyDescent="0.2">
      <c r="A614" t="s">
        <v>505</v>
      </c>
      <c r="B614" t="s">
        <v>119</v>
      </c>
      <c r="C614">
        <v>14.760698798958581</v>
      </c>
      <c r="D614">
        <v>77.346061706542969</v>
      </c>
      <c r="E614">
        <v>66.777854919433594</v>
      </c>
      <c r="F614">
        <f>(Table[[#This Row],[price_lag]] - Table[[#This Row],[price]]) / Table[[#This Row],[price]]</f>
        <v>-0.13663535743042718</v>
      </c>
    </row>
    <row r="615" spans="1:6" hidden="1" x14ac:dyDescent="0.2">
      <c r="A615" t="s">
        <v>505</v>
      </c>
      <c r="B615" t="s">
        <v>120</v>
      </c>
      <c r="C615">
        <v>15.646874564034601</v>
      </c>
      <c r="D615">
        <v>350.489990234375</v>
      </c>
      <c r="E615">
        <v>337.489990234375</v>
      </c>
      <c r="F615">
        <f>(Table[[#This Row],[price_lag]] - Table[[#This Row],[price]]) / Table[[#This Row],[price]]</f>
        <v>-3.7090930874536E-2</v>
      </c>
    </row>
    <row r="616" spans="1:6" hidden="1" x14ac:dyDescent="0.2">
      <c r="A616" t="s">
        <v>505</v>
      </c>
      <c r="B616" t="s">
        <v>121</v>
      </c>
      <c r="C616">
        <v>24.241884894992989</v>
      </c>
      <c r="D616">
        <v>89.210136413574219</v>
      </c>
      <c r="E616">
        <v>78.924324035644531</v>
      </c>
      <c r="F616">
        <f>(Table[[#This Row],[price_lag]] - Table[[#This Row],[price]]) / Table[[#This Row],[price]]</f>
        <v>-0.11529869576978471</v>
      </c>
    </row>
    <row r="617" spans="1:6" hidden="1" x14ac:dyDescent="0.2">
      <c r="A617" t="s">
        <v>505</v>
      </c>
      <c r="B617" t="s">
        <v>122</v>
      </c>
      <c r="C617">
        <v>2.694333606324157</v>
      </c>
      <c r="D617">
        <v>32.416950225830078</v>
      </c>
      <c r="E617">
        <v>28.80014801025391</v>
      </c>
      <c r="F617">
        <f>(Table[[#This Row],[price_lag]] - Table[[#This Row],[price]]) / Table[[#This Row],[price]]</f>
        <v>-0.11157132889985043</v>
      </c>
    </row>
    <row r="618" spans="1:6" hidden="1" x14ac:dyDescent="0.2">
      <c r="A618" t="s">
        <v>505</v>
      </c>
      <c r="B618" t="s">
        <v>123</v>
      </c>
      <c r="C618">
        <v>9.2903461096421722</v>
      </c>
      <c r="D618">
        <v>19.69553375244141</v>
      </c>
      <c r="E618">
        <v>17.94127082824707</v>
      </c>
      <c r="F618">
        <f>(Table[[#This Row],[price_lag]] - Table[[#This Row],[price]]) / Table[[#This Row],[price]]</f>
        <v>-8.9069072523961706E-2</v>
      </c>
    </row>
    <row r="619" spans="1:6" hidden="1" x14ac:dyDescent="0.2">
      <c r="A619" t="s">
        <v>505</v>
      </c>
      <c r="B619" t="s">
        <v>124</v>
      </c>
      <c r="C619">
        <v>14.132608511509041</v>
      </c>
      <c r="D619">
        <v>88.187477111816406</v>
      </c>
      <c r="E619">
        <v>93.72039794921875</v>
      </c>
      <c r="F619">
        <f>(Table[[#This Row],[price_lag]] - Table[[#This Row],[price]]) / Table[[#This Row],[price]]</f>
        <v>6.2740436835344929E-2</v>
      </c>
    </row>
    <row r="620" spans="1:6" hidden="1" x14ac:dyDescent="0.2">
      <c r="A620" t="s">
        <v>505</v>
      </c>
      <c r="B620" t="s">
        <v>125</v>
      </c>
      <c r="C620">
        <v>36.2887186162612</v>
      </c>
      <c r="D620">
        <v>98.705314636230469</v>
      </c>
      <c r="E620">
        <v>99.689735412597656</v>
      </c>
      <c r="F620">
        <f>(Table[[#This Row],[price_lag]] - Table[[#This Row],[price]]) / Table[[#This Row],[price]]</f>
        <v>9.9733310206768649E-3</v>
      </c>
    </row>
    <row r="621" spans="1:6" hidden="1" x14ac:dyDescent="0.2">
      <c r="A621" t="s">
        <v>505</v>
      </c>
      <c r="B621" t="s">
        <v>126</v>
      </c>
      <c r="C621">
        <v>13.83420352278085</v>
      </c>
      <c r="D621">
        <v>160.47676086425781</v>
      </c>
      <c r="E621">
        <v>133.62126159667969</v>
      </c>
      <c r="F621">
        <f>(Table[[#This Row],[price_lag]] - Table[[#This Row],[price]]) / Table[[#This Row],[price]]</f>
        <v>-0.16734821367870414</v>
      </c>
    </row>
    <row r="622" spans="1:6" hidden="1" x14ac:dyDescent="0.2">
      <c r="A622" t="s">
        <v>505</v>
      </c>
      <c r="B622" t="s">
        <v>127</v>
      </c>
      <c r="C622">
        <v>30.149989896052791</v>
      </c>
      <c r="D622">
        <v>322.00189208984381</v>
      </c>
      <c r="E622">
        <v>328.69284057617188</v>
      </c>
      <c r="F622">
        <f>(Table[[#This Row],[price_lag]] - Table[[#This Row],[price]]) / Table[[#This Row],[price]]</f>
        <v>2.0779221025388209E-2</v>
      </c>
    </row>
    <row r="623" spans="1:6" hidden="1" x14ac:dyDescent="0.2">
      <c r="A623" t="s">
        <v>505</v>
      </c>
      <c r="B623" t="s">
        <v>128</v>
      </c>
      <c r="C623">
        <v>35.980391629103352</v>
      </c>
      <c r="D623">
        <v>71.160003662109375</v>
      </c>
      <c r="E623">
        <v>68.55999755859375</v>
      </c>
      <c r="F623">
        <f>(Table[[#This Row],[price_lag]] - Table[[#This Row],[price]]) / Table[[#This Row],[price]]</f>
        <v>-3.6537464442262982E-2</v>
      </c>
    </row>
    <row r="624" spans="1:6" hidden="1" x14ac:dyDescent="0.2">
      <c r="A624" t="s">
        <v>505</v>
      </c>
      <c r="B624" t="s">
        <v>129</v>
      </c>
      <c r="C624">
        <v>29.920731521234281</v>
      </c>
      <c r="D624">
        <v>49.069999694824219</v>
      </c>
      <c r="E624">
        <v>44.970001220703118</v>
      </c>
      <c r="F624">
        <f>(Table[[#This Row],[price_lag]] - Table[[#This Row],[price]]) / Table[[#This Row],[price]]</f>
        <v>-8.3554075802318759E-2</v>
      </c>
    </row>
    <row r="625" spans="1:6" hidden="1" x14ac:dyDescent="0.2">
      <c r="A625" t="s">
        <v>505</v>
      </c>
      <c r="B625" t="s">
        <v>130</v>
      </c>
      <c r="C625">
        <v>23.726503198797051</v>
      </c>
      <c r="D625">
        <v>52.198307037353523</v>
      </c>
      <c r="E625">
        <v>81.751121520996094</v>
      </c>
      <c r="F625">
        <f>(Table[[#This Row],[price_lag]] - Table[[#This Row],[price]]) / Table[[#This Row],[price]]</f>
        <v>0.56616423330538945</v>
      </c>
    </row>
    <row r="626" spans="1:6" hidden="1" x14ac:dyDescent="0.2">
      <c r="A626" t="s">
        <v>505</v>
      </c>
      <c r="B626" t="s">
        <v>131</v>
      </c>
      <c r="C626">
        <v>20.584367700013569</v>
      </c>
      <c r="D626">
        <v>331.82000732421881</v>
      </c>
      <c r="E626">
        <v>288.05999755859381</v>
      </c>
      <c r="F626">
        <f>(Table[[#This Row],[price_lag]] - Table[[#This Row],[price]]) / Table[[#This Row],[price]]</f>
        <v>-0.13187875595116672</v>
      </c>
    </row>
    <row r="627" spans="1:6" hidden="1" x14ac:dyDescent="0.2">
      <c r="A627" t="s">
        <v>505</v>
      </c>
      <c r="B627" t="s">
        <v>132</v>
      </c>
      <c r="C627">
        <v>9.6550554037094116</v>
      </c>
      <c r="D627">
        <v>74.150825500488281</v>
      </c>
      <c r="E627">
        <v>67.449569702148438</v>
      </c>
      <c r="F627">
        <f>(Table[[#This Row],[price_lag]] - Table[[#This Row],[price]]) / Table[[#This Row],[price]]</f>
        <v>-9.037331348786827E-2</v>
      </c>
    </row>
    <row r="628" spans="1:6" hidden="1" x14ac:dyDescent="0.2">
      <c r="A628" t="s">
        <v>505</v>
      </c>
      <c r="B628" t="s">
        <v>133</v>
      </c>
      <c r="C628">
        <v>2010.0000381469731</v>
      </c>
      <c r="D628">
        <v>80.400001525878906</v>
      </c>
      <c r="E628">
        <v>84.370002746582031</v>
      </c>
      <c r="F628">
        <f>(Table[[#This Row],[price_lag]] - Table[[#This Row],[price]]) / Table[[#This Row],[price]]</f>
        <v>4.9378123698483677E-2</v>
      </c>
    </row>
    <row r="629" spans="1:6" hidden="1" x14ac:dyDescent="0.2">
      <c r="A629" t="s">
        <v>505</v>
      </c>
      <c r="B629" t="s">
        <v>134</v>
      </c>
      <c r="C629">
        <v>57.527612361596738</v>
      </c>
      <c r="D629">
        <v>987.173828125</v>
      </c>
      <c r="E629">
        <v>924.32232666015625</v>
      </c>
      <c r="F629">
        <f>(Table[[#This Row],[price_lag]] - Table[[#This Row],[price]]) / Table[[#This Row],[price]]</f>
        <v>-6.3668119711217913E-2</v>
      </c>
    </row>
    <row r="630" spans="1:6" hidden="1" x14ac:dyDescent="0.2">
      <c r="A630" t="s">
        <v>505</v>
      </c>
      <c r="B630" t="s">
        <v>135</v>
      </c>
      <c r="C630">
        <v>9.3051184469194546</v>
      </c>
      <c r="D630">
        <v>24.937717437744141</v>
      </c>
      <c r="E630">
        <v>23.45088005065918</v>
      </c>
      <c r="F630">
        <f>(Table[[#This Row],[price_lag]] - Table[[#This Row],[price]]) / Table[[#This Row],[price]]</f>
        <v>-5.9622032000193351E-2</v>
      </c>
    </row>
    <row r="631" spans="1:6" hidden="1" x14ac:dyDescent="0.2">
      <c r="A631" t="s">
        <v>505</v>
      </c>
      <c r="B631" t="s">
        <v>136</v>
      </c>
      <c r="C631">
        <v>0</v>
      </c>
      <c r="D631">
        <v>509.30999755859381</v>
      </c>
      <c r="E631">
        <v>490.3800048828125</v>
      </c>
      <c r="F631">
        <f>(Table[[#This Row],[price_lag]] - Table[[#This Row],[price]]) / Table[[#This Row],[price]]</f>
        <v>-3.7167918883436991E-2</v>
      </c>
    </row>
    <row r="632" spans="1:6" hidden="1" x14ac:dyDescent="0.2">
      <c r="A632" t="s">
        <v>505</v>
      </c>
      <c r="B632" t="s">
        <v>137</v>
      </c>
      <c r="C632">
        <v>37.461955511747902</v>
      </c>
      <c r="D632">
        <v>100.3980407714844</v>
      </c>
      <c r="E632">
        <v>95.362373352050781</v>
      </c>
      <c r="F632">
        <f>(Table[[#This Row],[price_lag]] - Table[[#This Row],[price]]) / Table[[#This Row],[price]]</f>
        <v>-5.0157028770066198E-2</v>
      </c>
    </row>
    <row r="633" spans="1:6" hidden="1" x14ac:dyDescent="0.2">
      <c r="A633" t="s">
        <v>505</v>
      </c>
      <c r="B633" t="s">
        <v>138</v>
      </c>
      <c r="C633">
        <v>18.20450852356899</v>
      </c>
      <c r="D633">
        <v>32.38043212890625</v>
      </c>
      <c r="E633">
        <v>35.379222869873047</v>
      </c>
      <c r="F633">
        <f>(Table[[#This Row],[price_lag]] - Table[[#This Row],[price]]) / Table[[#This Row],[price]]</f>
        <v>9.2611202007083601E-2</v>
      </c>
    </row>
    <row r="634" spans="1:6" hidden="1" x14ac:dyDescent="0.2">
      <c r="A634" t="s">
        <v>505</v>
      </c>
      <c r="B634" t="s">
        <v>139</v>
      </c>
      <c r="C634">
        <v>12.55563198597439</v>
      </c>
      <c r="D634">
        <v>324.43753051757812</v>
      </c>
      <c r="E634">
        <v>420.5540771484375</v>
      </c>
      <c r="F634">
        <f>(Table[[#This Row],[price_lag]] - Table[[#This Row],[price]]) / Table[[#This Row],[price]]</f>
        <v>0.29625594325515847</v>
      </c>
    </row>
    <row r="635" spans="1:6" hidden="1" x14ac:dyDescent="0.2">
      <c r="A635" t="s">
        <v>505</v>
      </c>
      <c r="B635" t="s">
        <v>140</v>
      </c>
      <c r="C635">
        <v>20.7191914687922</v>
      </c>
      <c r="D635">
        <v>67.130180358886719</v>
      </c>
      <c r="E635">
        <v>74.168441772460938</v>
      </c>
      <c r="F635">
        <f>(Table[[#This Row],[price_lag]] - Table[[#This Row],[price]]) / Table[[#This Row],[price]]</f>
        <v>0.10484496505069334</v>
      </c>
    </row>
    <row r="636" spans="1:6" hidden="1" x14ac:dyDescent="0.2">
      <c r="A636" t="s">
        <v>505</v>
      </c>
      <c r="B636" t="s">
        <v>141</v>
      </c>
      <c r="C636">
        <v>63.934747274819912</v>
      </c>
      <c r="D636">
        <v>196.91902160644531</v>
      </c>
      <c r="E636">
        <v>197.98590087890619</v>
      </c>
      <c r="F636">
        <f>(Table[[#This Row],[price_lag]] - Table[[#This Row],[price]]) / Table[[#This Row],[price]]</f>
        <v>5.4178578776056686E-3</v>
      </c>
    </row>
    <row r="637" spans="1:6" hidden="1" x14ac:dyDescent="0.2">
      <c r="A637" t="s">
        <v>505</v>
      </c>
      <c r="B637" t="s">
        <v>142</v>
      </c>
      <c r="C637">
        <v>20.571956855449901</v>
      </c>
      <c r="D637">
        <v>213.12547302246091</v>
      </c>
      <c r="E637">
        <v>187.4317626953125</v>
      </c>
      <c r="F637">
        <f>(Table[[#This Row],[price_lag]] - Table[[#This Row],[price]]) / Table[[#This Row],[price]]</f>
        <v>-0.12055673103158623</v>
      </c>
    </row>
    <row r="638" spans="1:6" hidden="1" x14ac:dyDescent="0.2">
      <c r="A638" t="s">
        <v>505</v>
      </c>
      <c r="B638" t="s">
        <v>143</v>
      </c>
      <c r="C638">
        <v>3358.2500457763672</v>
      </c>
      <c r="D638">
        <v>134.33000183105469</v>
      </c>
      <c r="E638">
        <v>142.3999938964844</v>
      </c>
      <c r="F638">
        <f>(Table[[#This Row],[price_lag]] - Table[[#This Row],[price]]) / Table[[#This Row],[price]]</f>
        <v>6.0075872518629551E-2</v>
      </c>
    </row>
    <row r="639" spans="1:6" hidden="1" x14ac:dyDescent="0.2">
      <c r="A639" t="s">
        <v>505</v>
      </c>
      <c r="B639" t="s">
        <v>144</v>
      </c>
      <c r="C639">
        <v>13.59255696071013</v>
      </c>
      <c r="D639">
        <v>142.44999694824219</v>
      </c>
      <c r="E639">
        <v>132.8699951171875</v>
      </c>
      <c r="F639">
        <f>(Table[[#This Row],[price_lag]] - Table[[#This Row],[price]]) / Table[[#This Row],[price]]</f>
        <v>-6.7251681546441081E-2</v>
      </c>
    </row>
    <row r="640" spans="1:6" hidden="1" x14ac:dyDescent="0.2">
      <c r="A640" t="s">
        <v>505</v>
      </c>
      <c r="B640" t="s">
        <v>145</v>
      </c>
      <c r="C640">
        <v>106.5192295954778</v>
      </c>
      <c r="D640">
        <v>55.389999389648438</v>
      </c>
      <c r="E640">
        <v>68.889999389648438</v>
      </c>
      <c r="F640">
        <f>(Table[[#This Row],[price_lag]] - Table[[#This Row],[price]]) / Table[[#This Row],[price]]</f>
        <v>0.24372630707273393</v>
      </c>
    </row>
    <row r="641" spans="1:6" hidden="1" x14ac:dyDescent="0.2">
      <c r="A641" t="s">
        <v>505</v>
      </c>
      <c r="B641" t="s">
        <v>146</v>
      </c>
      <c r="C641">
        <v>27.706989165275331</v>
      </c>
      <c r="D641">
        <v>103.0699996948242</v>
      </c>
      <c r="E641">
        <v>101.370002746582</v>
      </c>
      <c r="F641">
        <f>(Table[[#This Row],[price_lag]] - Table[[#This Row],[price]]) / Table[[#This Row],[price]]</f>
        <v>-1.6493615535807256E-2</v>
      </c>
    </row>
    <row r="642" spans="1:6" hidden="1" x14ac:dyDescent="0.2">
      <c r="A642" t="s">
        <v>505</v>
      </c>
      <c r="B642" t="s">
        <v>147</v>
      </c>
      <c r="C642">
        <v>26.521719603979289</v>
      </c>
      <c r="D642">
        <v>504.97354125976562</v>
      </c>
      <c r="E642">
        <v>455.6837158203125</v>
      </c>
      <c r="F642">
        <f>(Table[[#This Row],[price_lag]] - Table[[#This Row],[price]]) / Table[[#This Row],[price]]</f>
        <v>-9.7608728798916883E-2</v>
      </c>
    </row>
    <row r="643" spans="1:6" hidden="1" x14ac:dyDescent="0.2">
      <c r="A643" t="s">
        <v>505</v>
      </c>
      <c r="B643" t="s">
        <v>148</v>
      </c>
      <c r="C643">
        <v>17.59774891379481</v>
      </c>
      <c r="D643">
        <v>121.1374130249023</v>
      </c>
      <c r="E643">
        <v>140.6513366699219</v>
      </c>
      <c r="F643">
        <f>(Table[[#This Row],[price_lag]] - Table[[#This Row],[price]]) / Table[[#This Row],[price]]</f>
        <v>0.16108915617182704</v>
      </c>
    </row>
    <row r="644" spans="1:6" hidden="1" x14ac:dyDescent="0.2">
      <c r="A644" t="s">
        <v>505</v>
      </c>
      <c r="B644" t="s">
        <v>149</v>
      </c>
      <c r="C644">
        <v>3.7239464317880029</v>
      </c>
      <c r="D644">
        <v>48.858177185058587</v>
      </c>
      <c r="E644">
        <v>56.577083587646477</v>
      </c>
      <c r="F644">
        <f>(Table[[#This Row],[price_lag]] - Table[[#This Row],[price]]) / Table[[#This Row],[price]]</f>
        <v>0.15798596769894283</v>
      </c>
    </row>
    <row r="645" spans="1:6" hidden="1" x14ac:dyDescent="0.2">
      <c r="A645" t="s">
        <v>505</v>
      </c>
      <c r="B645" t="s">
        <v>150</v>
      </c>
      <c r="C645">
        <v>5.5261198903473332</v>
      </c>
      <c r="D645">
        <v>31.388360977172852</v>
      </c>
      <c r="E645">
        <v>34.835735321044922</v>
      </c>
      <c r="F645">
        <f>(Table[[#This Row],[price_lag]] - Table[[#This Row],[price]]) / Table[[#This Row],[price]]</f>
        <v>0.10982970236576448</v>
      </c>
    </row>
    <row r="646" spans="1:6" hidden="1" x14ac:dyDescent="0.2">
      <c r="A646" t="s">
        <v>505</v>
      </c>
      <c r="B646" t="s">
        <v>151</v>
      </c>
      <c r="C646">
        <v>47.440217888873548</v>
      </c>
      <c r="D646">
        <v>87.290000915527344</v>
      </c>
      <c r="E646">
        <v>67.290000915527344</v>
      </c>
      <c r="F646">
        <f>(Table[[#This Row],[price_lag]] - Table[[#This Row],[price]]) / Table[[#This Row],[price]]</f>
        <v>-0.22912131733569904</v>
      </c>
    </row>
    <row r="647" spans="1:6" hidden="1" x14ac:dyDescent="0.2">
      <c r="A647" t="s">
        <v>505</v>
      </c>
      <c r="B647" t="s">
        <v>152</v>
      </c>
      <c r="C647">
        <v>14.231632136497179</v>
      </c>
      <c r="D647">
        <v>135.4851379394531</v>
      </c>
      <c r="E647">
        <v>142.1210021972656</v>
      </c>
      <c r="F647">
        <f>(Table[[#This Row],[price_lag]] - Table[[#This Row],[price]]) / Table[[#This Row],[price]]</f>
        <v>4.8978540072624047E-2</v>
      </c>
    </row>
    <row r="648" spans="1:6" hidden="1" x14ac:dyDescent="0.2">
      <c r="A648" t="s">
        <v>505</v>
      </c>
      <c r="B648" t="s">
        <v>153</v>
      </c>
      <c r="C648">
        <v>14.16910253342229</v>
      </c>
      <c r="D648">
        <v>171.7295227050781</v>
      </c>
      <c r="E648">
        <v>171.50712585449219</v>
      </c>
      <c r="F648">
        <f>(Table[[#This Row],[price_lag]] - Table[[#This Row],[price]]) / Table[[#This Row],[price]]</f>
        <v>-1.2950414528772969E-3</v>
      </c>
    </row>
    <row r="649" spans="1:6" hidden="1" x14ac:dyDescent="0.2">
      <c r="A649" t="s">
        <v>505</v>
      </c>
      <c r="B649" t="s">
        <v>154</v>
      </c>
      <c r="C649">
        <v>15.058174745284299</v>
      </c>
      <c r="D649">
        <v>112.63514709472661</v>
      </c>
      <c r="E649">
        <v>102.292350769043</v>
      </c>
      <c r="F649">
        <f>(Table[[#This Row],[price_lag]] - Table[[#This Row],[price]]) / Table[[#This Row],[price]]</f>
        <v>-9.1825656488780327E-2</v>
      </c>
    </row>
    <row r="650" spans="1:6" hidden="1" x14ac:dyDescent="0.2">
      <c r="A650" t="s">
        <v>505</v>
      </c>
      <c r="B650" t="s">
        <v>155</v>
      </c>
      <c r="C650">
        <v>27.208791460309708</v>
      </c>
      <c r="D650">
        <v>99.040000915527344</v>
      </c>
      <c r="E650">
        <v>94.370002746582031</v>
      </c>
      <c r="F650">
        <f>(Table[[#This Row],[price_lag]] - Table[[#This Row],[price]]) / Table[[#This Row],[price]]</f>
        <v>-4.7152646665748942E-2</v>
      </c>
    </row>
    <row r="651" spans="1:6" hidden="1" x14ac:dyDescent="0.2">
      <c r="A651" t="s">
        <v>505</v>
      </c>
      <c r="B651" t="s">
        <v>156</v>
      </c>
      <c r="C651">
        <v>15.500032734505581</v>
      </c>
      <c r="D651">
        <v>55.254020690917969</v>
      </c>
      <c r="E651">
        <v>60.487152099609382</v>
      </c>
      <c r="F651">
        <f>(Table[[#This Row],[price_lag]] - Table[[#This Row],[price]]) / Table[[#This Row],[price]]</f>
        <v>9.4710418232995239E-2</v>
      </c>
    </row>
    <row r="652" spans="1:6" hidden="1" x14ac:dyDescent="0.2">
      <c r="A652" t="s">
        <v>505</v>
      </c>
      <c r="B652" t="s">
        <v>157</v>
      </c>
      <c r="C652">
        <v>29.10524209340414</v>
      </c>
      <c r="D652">
        <v>447.0565185546875</v>
      </c>
      <c r="E652">
        <v>429.97006225585938</v>
      </c>
      <c r="F652">
        <f>(Table[[#This Row],[price_lag]] - Table[[#This Row],[price]]) / Table[[#This Row],[price]]</f>
        <v>-3.8219901935593797E-2</v>
      </c>
    </row>
    <row r="653" spans="1:6" hidden="1" x14ac:dyDescent="0.2">
      <c r="A653" t="s">
        <v>505</v>
      </c>
      <c r="B653" t="s">
        <v>158</v>
      </c>
      <c r="C653">
        <v>91.981341233894</v>
      </c>
      <c r="D653">
        <v>246.50999450683591</v>
      </c>
      <c r="E653">
        <v>271.989990234375</v>
      </c>
      <c r="F653">
        <f>(Table[[#This Row],[price_lag]] - Table[[#This Row],[price]]) / Table[[#This Row],[price]]</f>
        <v>0.10336293170795763</v>
      </c>
    </row>
    <row r="654" spans="1:6" hidden="1" x14ac:dyDescent="0.2">
      <c r="A654" t="s">
        <v>505</v>
      </c>
      <c r="B654" t="s">
        <v>159</v>
      </c>
      <c r="C654">
        <v>22.437812542093209</v>
      </c>
      <c r="D654">
        <v>182.1950378417969</v>
      </c>
      <c r="E654">
        <v>166.36407470703119</v>
      </c>
      <c r="F654">
        <f>(Table[[#This Row],[price_lag]] - Table[[#This Row],[price]]) / Table[[#This Row],[price]]</f>
        <v>-8.6890199218883274E-2</v>
      </c>
    </row>
    <row r="655" spans="1:6" hidden="1" x14ac:dyDescent="0.2">
      <c r="A655" t="s">
        <v>505</v>
      </c>
      <c r="B655" t="s">
        <v>160</v>
      </c>
      <c r="C655">
        <v>0</v>
      </c>
      <c r="D655">
        <v>25.7206916809082</v>
      </c>
      <c r="E655">
        <v>22.594345092773441</v>
      </c>
      <c r="F655">
        <f>(Table[[#This Row],[price_lag]] - Table[[#This Row],[price]]) / Table[[#This Row],[price]]</f>
        <v>-0.12154986447955303</v>
      </c>
    </row>
    <row r="656" spans="1:6" hidden="1" x14ac:dyDescent="0.2">
      <c r="A656" t="s">
        <v>505</v>
      </c>
      <c r="B656" t="s">
        <v>161</v>
      </c>
      <c r="C656">
        <v>9.5095716527378524</v>
      </c>
      <c r="D656">
        <v>128.18902587890619</v>
      </c>
      <c r="E656">
        <v>168.94776916503909</v>
      </c>
      <c r="F656">
        <f>(Table[[#This Row],[price_lag]] - Table[[#This Row],[price]]) / Table[[#This Row],[price]]</f>
        <v>0.31795813258332783</v>
      </c>
    </row>
    <row r="657" spans="1:6" hidden="1" x14ac:dyDescent="0.2">
      <c r="A657" t="s">
        <v>505</v>
      </c>
      <c r="B657" t="s">
        <v>162</v>
      </c>
      <c r="C657">
        <v>29.596703269264911</v>
      </c>
      <c r="D657">
        <v>130.2254943847656</v>
      </c>
      <c r="E657">
        <v>140.1606140136719</v>
      </c>
      <c r="F657">
        <f>(Table[[#This Row],[price_lag]] - Table[[#This Row],[price]]) / Table[[#This Row],[price]]</f>
        <v>7.6291663747130034E-2</v>
      </c>
    </row>
    <row r="658" spans="1:6" hidden="1" x14ac:dyDescent="0.2">
      <c r="A658" t="s">
        <v>505</v>
      </c>
      <c r="B658" t="s">
        <v>163</v>
      </c>
      <c r="C658">
        <v>23.196107482910161</v>
      </c>
      <c r="D658">
        <v>115.9805374145508</v>
      </c>
      <c r="E658">
        <v>122.68361663818359</v>
      </c>
      <c r="F658">
        <f>(Table[[#This Row],[price_lag]] - Table[[#This Row],[price]]) / Table[[#This Row],[price]]</f>
        <v>5.7794862595556808E-2</v>
      </c>
    </row>
    <row r="659" spans="1:6" hidden="1" x14ac:dyDescent="0.2">
      <c r="A659" t="s">
        <v>505</v>
      </c>
      <c r="B659" t="s">
        <v>164</v>
      </c>
      <c r="C659">
        <v>50.718593597412102</v>
      </c>
      <c r="D659">
        <v>28.402412414550781</v>
      </c>
      <c r="E659">
        <v>32.428859710693359</v>
      </c>
      <c r="F659">
        <f>(Table[[#This Row],[price_lag]] - Table[[#This Row],[price]]) / Table[[#This Row],[price]]</f>
        <v>0.14176427119549173</v>
      </c>
    </row>
    <row r="660" spans="1:6" hidden="1" x14ac:dyDescent="0.2">
      <c r="A660" t="s">
        <v>505</v>
      </c>
      <c r="B660" t="s">
        <v>165</v>
      </c>
      <c r="C660">
        <v>14.915195840304021</v>
      </c>
      <c r="D660">
        <v>72.786155700683594</v>
      </c>
      <c r="E660">
        <v>62.236698150634773</v>
      </c>
      <c r="F660">
        <f>(Table[[#This Row],[price_lag]] - Table[[#This Row],[price]]) / Table[[#This Row],[price]]</f>
        <v>-0.14493769383055552</v>
      </c>
    </row>
    <row r="661" spans="1:6" hidden="1" x14ac:dyDescent="0.2">
      <c r="A661" t="s">
        <v>505</v>
      </c>
      <c r="B661" t="s">
        <v>166</v>
      </c>
      <c r="C661">
        <v>35.31283424014137</v>
      </c>
      <c r="D661">
        <v>355.953369140625</v>
      </c>
      <c r="E661">
        <v>374.25</v>
      </c>
      <c r="F661">
        <f>(Table[[#This Row],[price_lag]] - Table[[#This Row],[price]]) / Table[[#This Row],[price]]</f>
        <v>5.1401763392627496E-2</v>
      </c>
    </row>
    <row r="662" spans="1:6" hidden="1" x14ac:dyDescent="0.2">
      <c r="A662" t="s">
        <v>505</v>
      </c>
      <c r="B662" t="s">
        <v>167</v>
      </c>
      <c r="C662">
        <v>23.114485740661621</v>
      </c>
      <c r="D662">
        <v>73.966354370117188</v>
      </c>
      <c r="E662">
        <v>90.630256652832031</v>
      </c>
      <c r="F662">
        <f>(Table[[#This Row],[price_lag]] - Table[[#This Row],[price]]) / Table[[#This Row],[price]]</f>
        <v>0.22529030157862087</v>
      </c>
    </row>
    <row r="663" spans="1:6" hidden="1" x14ac:dyDescent="0.2">
      <c r="A663" t="s">
        <v>505</v>
      </c>
      <c r="B663" t="s">
        <v>168</v>
      </c>
      <c r="C663">
        <v>36.221804232210722</v>
      </c>
      <c r="D663">
        <v>268.04135131835938</v>
      </c>
      <c r="E663">
        <v>273.09432983398438</v>
      </c>
      <c r="F663">
        <f>(Table[[#This Row],[price_lag]] - Table[[#This Row],[price]]) / Table[[#This Row],[price]]</f>
        <v>1.8851488737733797E-2</v>
      </c>
    </row>
    <row r="664" spans="1:6" hidden="1" x14ac:dyDescent="0.2">
      <c r="A664" t="s">
        <v>505</v>
      </c>
      <c r="B664" t="s">
        <v>169</v>
      </c>
      <c r="C664">
        <v>13.84657849086804</v>
      </c>
      <c r="D664">
        <v>49.293819427490227</v>
      </c>
      <c r="E664">
        <v>53.654754638671882</v>
      </c>
      <c r="F664">
        <f>(Table[[#This Row],[price_lag]] - Table[[#This Row],[price]]) / Table[[#This Row],[price]]</f>
        <v>8.8468194630291597E-2</v>
      </c>
    </row>
    <row r="665" spans="1:6" hidden="1" x14ac:dyDescent="0.2">
      <c r="A665" t="s">
        <v>505</v>
      </c>
      <c r="B665" t="s">
        <v>170</v>
      </c>
      <c r="C665">
        <v>34.302631177400293</v>
      </c>
      <c r="D665">
        <v>78.209999084472656</v>
      </c>
      <c r="E665">
        <v>77.769996643066406</v>
      </c>
      <c r="F665">
        <f>(Table[[#This Row],[price_lag]] - Table[[#This Row],[price]]) / Table[[#This Row],[price]]</f>
        <v>-5.625910325494499E-3</v>
      </c>
    </row>
    <row r="666" spans="1:6" hidden="1" x14ac:dyDescent="0.2">
      <c r="A666" t="s">
        <v>505</v>
      </c>
      <c r="B666" t="s">
        <v>171</v>
      </c>
      <c r="C666">
        <v>49.804592132568359</v>
      </c>
      <c r="D666">
        <v>159.37469482421881</v>
      </c>
      <c r="E666">
        <v>201.5114440917969</v>
      </c>
      <c r="F666">
        <f>(Table[[#This Row],[price_lag]] - Table[[#This Row],[price]]) / Table[[#This Row],[price]]</f>
        <v>0.2643879526423723</v>
      </c>
    </row>
    <row r="667" spans="1:6" hidden="1" x14ac:dyDescent="0.2">
      <c r="A667" t="s">
        <v>505</v>
      </c>
      <c r="B667" t="s">
        <v>172</v>
      </c>
      <c r="C667">
        <v>12.41127763959941</v>
      </c>
      <c r="D667">
        <v>384.865478515625</v>
      </c>
      <c r="E667">
        <v>321.46316528320312</v>
      </c>
      <c r="F667">
        <f>(Table[[#This Row],[price_lag]] - Table[[#This Row],[price]]) / Table[[#This Row],[price]]</f>
        <v>-0.16473889390380289</v>
      </c>
    </row>
    <row r="668" spans="1:6" hidden="1" x14ac:dyDescent="0.2">
      <c r="A668" t="s">
        <v>505</v>
      </c>
      <c r="B668" t="s">
        <v>173</v>
      </c>
      <c r="C668">
        <v>31.786614197951099</v>
      </c>
      <c r="D668">
        <v>132.23231506347659</v>
      </c>
      <c r="E668">
        <v>130.6132507324219</v>
      </c>
      <c r="F668">
        <f>(Table[[#This Row],[price_lag]] - Table[[#This Row],[price]]) / Table[[#This Row],[price]]</f>
        <v>-1.2244089731602101E-2</v>
      </c>
    </row>
    <row r="669" spans="1:6" hidden="1" x14ac:dyDescent="0.2">
      <c r="A669" t="s">
        <v>505</v>
      </c>
      <c r="B669" t="s">
        <v>174</v>
      </c>
      <c r="C669">
        <v>35.401787076677593</v>
      </c>
      <c r="D669">
        <v>39.650001525878913</v>
      </c>
      <c r="E669">
        <v>35.389999389648438</v>
      </c>
      <c r="F669">
        <f>(Table[[#This Row],[price_lag]] - Table[[#This Row],[price]]) / Table[[#This Row],[price]]</f>
        <v>-0.10744015062521603</v>
      </c>
    </row>
    <row r="670" spans="1:6" hidden="1" x14ac:dyDescent="0.2">
      <c r="A670" t="s">
        <v>505</v>
      </c>
      <c r="B670" t="s">
        <v>175</v>
      </c>
      <c r="C670">
        <v>4.9057358189633016</v>
      </c>
      <c r="D670">
        <v>82.023902893066406</v>
      </c>
      <c r="E670">
        <v>92.572212219238281</v>
      </c>
      <c r="F670">
        <f>(Table[[#This Row],[price_lag]] - Table[[#This Row],[price]]) / Table[[#This Row],[price]]</f>
        <v>0.12860043175369967</v>
      </c>
    </row>
    <row r="671" spans="1:6" hidden="1" x14ac:dyDescent="0.2">
      <c r="A671" t="s">
        <v>505</v>
      </c>
      <c r="B671" t="s">
        <v>176</v>
      </c>
      <c r="C671">
        <v>11.73292513816587</v>
      </c>
      <c r="D671">
        <v>116.3906173706055</v>
      </c>
      <c r="E671">
        <v>110.0050354003906</v>
      </c>
      <c r="F671">
        <f>(Table[[#This Row],[price_lag]] - Table[[#This Row],[price]]) / Table[[#This Row],[price]]</f>
        <v>-5.4863373994161684E-2</v>
      </c>
    </row>
    <row r="672" spans="1:6" hidden="1" x14ac:dyDescent="0.2">
      <c r="A672" t="s">
        <v>505</v>
      </c>
      <c r="B672" t="s">
        <v>177</v>
      </c>
      <c r="C672">
        <v>28.336539635291469</v>
      </c>
      <c r="D672">
        <v>176.82000732421881</v>
      </c>
      <c r="E672">
        <v>150.78999328613281</v>
      </c>
      <c r="F672">
        <f>(Table[[#This Row],[price_lag]] - Table[[#This Row],[price]]) / Table[[#This Row],[price]]</f>
        <v>-0.14721192715684667</v>
      </c>
    </row>
    <row r="673" spans="1:6" hidden="1" x14ac:dyDescent="0.2">
      <c r="A673" t="s">
        <v>505</v>
      </c>
      <c r="B673" t="s">
        <v>178</v>
      </c>
      <c r="C673">
        <v>11.06296932424298</v>
      </c>
      <c r="D673">
        <v>57.969959259033203</v>
      </c>
      <c r="E673">
        <v>54.269195556640618</v>
      </c>
      <c r="F673">
        <f>(Table[[#This Row],[price_lag]] - Table[[#This Row],[price]]) / Table[[#This Row],[price]]</f>
        <v>-6.383933591976626E-2</v>
      </c>
    </row>
    <row r="674" spans="1:6" hidden="1" x14ac:dyDescent="0.2">
      <c r="A674" t="s">
        <v>505</v>
      </c>
      <c r="B674" t="s">
        <v>179</v>
      </c>
      <c r="C674">
        <v>41.921739454393261</v>
      </c>
      <c r="D674">
        <v>258.2379150390625</v>
      </c>
      <c r="E674">
        <v>255.92987060546881</v>
      </c>
      <c r="F674">
        <f>(Table[[#This Row],[price_lag]] - Table[[#This Row],[price]]) / Table[[#This Row],[price]]</f>
        <v>-8.9376667761764013E-3</v>
      </c>
    </row>
    <row r="675" spans="1:6" hidden="1" x14ac:dyDescent="0.2">
      <c r="A675" t="s">
        <v>505</v>
      </c>
      <c r="B675" t="s">
        <v>180</v>
      </c>
      <c r="C675">
        <v>52.253154998129993</v>
      </c>
      <c r="D675">
        <v>785.887451171875</v>
      </c>
      <c r="E675">
        <v>778.5255126953125</v>
      </c>
      <c r="F675">
        <f>(Table[[#This Row],[price_lag]] - Table[[#This Row],[price]]) / Table[[#This Row],[price]]</f>
        <v>-9.3676753148109887E-3</v>
      </c>
    </row>
    <row r="676" spans="1:6" hidden="1" x14ac:dyDescent="0.2">
      <c r="A676" t="s">
        <v>505</v>
      </c>
      <c r="B676" t="s">
        <v>181</v>
      </c>
      <c r="C676">
        <v>32.371659372367112</v>
      </c>
      <c r="D676">
        <v>66.038185119628906</v>
      </c>
      <c r="E676">
        <v>64.018424987792969</v>
      </c>
      <c r="F676">
        <f>(Table[[#This Row],[price_lag]] - Table[[#This Row],[price]]) / Table[[#This Row],[price]]</f>
        <v>-3.0584731063961246E-2</v>
      </c>
    </row>
    <row r="677" spans="1:6" hidden="1" x14ac:dyDescent="0.2">
      <c r="A677" t="s">
        <v>505</v>
      </c>
      <c r="B677" t="s">
        <v>182</v>
      </c>
      <c r="C677">
        <v>22.80940958658854</v>
      </c>
      <c r="D677">
        <v>342.14114379882812</v>
      </c>
      <c r="E677">
        <v>315.15533447265619</v>
      </c>
      <c r="F677">
        <f>(Table[[#This Row],[price_lag]] - Table[[#This Row],[price]]) / Table[[#This Row],[price]]</f>
        <v>-7.8873324109885554E-2</v>
      </c>
    </row>
    <row r="678" spans="1:6" hidden="1" x14ac:dyDescent="0.2">
      <c r="A678" t="s">
        <v>505</v>
      </c>
      <c r="B678" t="s">
        <v>183</v>
      </c>
      <c r="C678">
        <v>20.196781602016721</v>
      </c>
      <c r="D678">
        <v>277.90771484375</v>
      </c>
      <c r="E678">
        <v>265.03128051757812</v>
      </c>
      <c r="F678">
        <f>(Table[[#This Row],[price_lag]] - Table[[#This Row],[price]]) / Table[[#This Row],[price]]</f>
        <v>-4.6333489998330861E-2</v>
      </c>
    </row>
    <row r="679" spans="1:6" hidden="1" x14ac:dyDescent="0.2">
      <c r="A679" t="s">
        <v>505</v>
      </c>
      <c r="B679" t="s">
        <v>184</v>
      </c>
      <c r="C679">
        <v>0</v>
      </c>
      <c r="D679">
        <v>80.191047668457031</v>
      </c>
      <c r="E679">
        <v>87.790847778320312</v>
      </c>
      <c r="F679">
        <f>(Table[[#This Row],[price_lag]] - Table[[#This Row],[price]]) / Table[[#This Row],[price]]</f>
        <v>9.4771178714162699E-2</v>
      </c>
    </row>
    <row r="680" spans="1:6" hidden="1" x14ac:dyDescent="0.2">
      <c r="A680" t="s">
        <v>505</v>
      </c>
      <c r="B680" t="s">
        <v>185</v>
      </c>
      <c r="C680">
        <v>5.2771740078185649</v>
      </c>
      <c r="D680">
        <v>339.85000610351562</v>
      </c>
      <c r="E680">
        <v>350.23001098632812</v>
      </c>
      <c r="F680">
        <f>(Table[[#This Row],[price_lag]] - Table[[#This Row],[price]]) / Table[[#This Row],[price]]</f>
        <v>3.0542900386621833E-2</v>
      </c>
    </row>
    <row r="681" spans="1:6" hidden="1" x14ac:dyDescent="0.2">
      <c r="A681" t="s">
        <v>505</v>
      </c>
      <c r="B681" t="s">
        <v>186</v>
      </c>
      <c r="C681">
        <v>22.860942015776761</v>
      </c>
      <c r="D681">
        <v>67.668388366699219</v>
      </c>
      <c r="E681">
        <v>75.322242736816406</v>
      </c>
      <c r="F681">
        <f>(Table[[#This Row],[price_lag]] - Table[[#This Row],[price]]) / Table[[#This Row],[price]]</f>
        <v>0.11310827041779795</v>
      </c>
    </row>
    <row r="682" spans="1:6" hidden="1" x14ac:dyDescent="0.2">
      <c r="A682" t="s">
        <v>505</v>
      </c>
      <c r="B682" t="s">
        <v>187</v>
      </c>
      <c r="C682">
        <v>16.199811299641929</v>
      </c>
      <c r="D682">
        <v>62.207275390625</v>
      </c>
      <c r="E682">
        <v>70.3509521484375</v>
      </c>
      <c r="F682">
        <f>(Table[[#This Row],[price_lag]] - Table[[#This Row],[price]]) / Table[[#This Row],[price]]</f>
        <v>0.13091196659353771</v>
      </c>
    </row>
    <row r="683" spans="1:6" hidden="1" x14ac:dyDescent="0.2">
      <c r="A683" t="s">
        <v>505</v>
      </c>
      <c r="B683" t="s">
        <v>188</v>
      </c>
      <c r="C683">
        <v>27.348868052164711</v>
      </c>
      <c r="D683">
        <v>42.664234161376953</v>
      </c>
      <c r="E683">
        <v>44.620384216308587</v>
      </c>
      <c r="F683">
        <f>(Table[[#This Row],[price_lag]] - Table[[#This Row],[price]]) / Table[[#This Row],[price]]</f>
        <v>4.5849880898659039E-2</v>
      </c>
    </row>
    <row r="684" spans="1:6" hidden="1" x14ac:dyDescent="0.2">
      <c r="A684" t="s">
        <v>505</v>
      </c>
      <c r="B684" t="s">
        <v>189</v>
      </c>
      <c r="C684">
        <v>7.0399043015238689</v>
      </c>
      <c r="D684">
        <v>114.60964202880859</v>
      </c>
      <c r="E684">
        <v>105.728630065918</v>
      </c>
      <c r="F684">
        <f>(Table[[#This Row],[price_lag]] - Table[[#This Row],[price]]) / Table[[#This Row],[price]]</f>
        <v>-7.7489221724104509E-2</v>
      </c>
    </row>
    <row r="685" spans="1:6" hidden="1" x14ac:dyDescent="0.2">
      <c r="A685" t="s">
        <v>505</v>
      </c>
      <c r="B685" t="s">
        <v>190</v>
      </c>
      <c r="C685">
        <v>16.09975442119028</v>
      </c>
      <c r="D685">
        <v>168.08143615722659</v>
      </c>
      <c r="E685">
        <v>213.39375305175781</v>
      </c>
      <c r="F685">
        <f>(Table[[#This Row],[price_lag]] - Table[[#This Row],[price]]) / Table[[#This Row],[price]]</f>
        <v>0.26958549338039456</v>
      </c>
    </row>
    <row r="686" spans="1:6" hidden="1" x14ac:dyDescent="0.2">
      <c r="A686" t="s">
        <v>505</v>
      </c>
      <c r="B686" t="s">
        <v>191</v>
      </c>
      <c r="C686">
        <v>21.04650850649233</v>
      </c>
      <c r="D686">
        <v>113.65114593505859</v>
      </c>
      <c r="E686">
        <v>121.9474258422852</v>
      </c>
      <c r="F686">
        <f>(Table[[#This Row],[price_lag]] - Table[[#This Row],[price]]) / Table[[#This Row],[price]]</f>
        <v>7.299776732534824E-2</v>
      </c>
    </row>
    <row r="687" spans="1:6" hidden="1" x14ac:dyDescent="0.2">
      <c r="A687" t="s">
        <v>505</v>
      </c>
      <c r="B687" t="s">
        <v>192</v>
      </c>
      <c r="C687">
        <v>30.52124088093386</v>
      </c>
      <c r="D687">
        <v>144.06025695800781</v>
      </c>
      <c r="E687">
        <v>139.2421875</v>
      </c>
      <c r="F687">
        <f>(Table[[#This Row],[price_lag]] - Table[[#This Row],[price]]) / Table[[#This Row],[price]]</f>
        <v>-3.3444820658706957E-2</v>
      </c>
    </row>
    <row r="688" spans="1:6" hidden="1" x14ac:dyDescent="0.2">
      <c r="A688" t="s">
        <v>505</v>
      </c>
      <c r="B688" t="s">
        <v>193</v>
      </c>
      <c r="C688">
        <v>16.140250461857491</v>
      </c>
      <c r="D688">
        <v>105.8800430297852</v>
      </c>
      <c r="E688">
        <v>111.7723770141602</v>
      </c>
      <c r="F688">
        <f>(Table[[#This Row],[price_lag]] - Table[[#This Row],[price]]) / Table[[#This Row],[price]]</f>
        <v>5.5651035037050586E-2</v>
      </c>
    </row>
    <row r="689" spans="1:6" hidden="1" x14ac:dyDescent="0.2">
      <c r="A689" t="s">
        <v>505</v>
      </c>
      <c r="B689" t="s">
        <v>194</v>
      </c>
      <c r="C689">
        <v>22.364742197888958</v>
      </c>
      <c r="D689">
        <v>294.32000732421881</v>
      </c>
      <c r="E689">
        <v>323.19000244140619</v>
      </c>
      <c r="F689">
        <f>(Table[[#This Row],[price_lag]] - Table[[#This Row],[price]]) / Table[[#This Row],[price]]</f>
        <v>9.8090494695403443E-2</v>
      </c>
    </row>
    <row r="690" spans="1:6" hidden="1" x14ac:dyDescent="0.2">
      <c r="A690" t="s">
        <v>505</v>
      </c>
      <c r="B690" t="s">
        <v>195</v>
      </c>
      <c r="C690">
        <v>28.329226435447229</v>
      </c>
      <c r="D690">
        <v>444.2022705078125</v>
      </c>
      <c r="E690">
        <v>285.35397338867188</v>
      </c>
      <c r="F690">
        <f>(Table[[#This Row],[price_lag]] - Table[[#This Row],[price]]) / Table[[#This Row],[price]]</f>
        <v>-0.35760352358745284</v>
      </c>
    </row>
    <row r="691" spans="1:6" hidden="1" x14ac:dyDescent="0.2">
      <c r="A691" t="s">
        <v>505</v>
      </c>
      <c r="B691" t="s">
        <v>196</v>
      </c>
      <c r="C691">
        <v>61.013349831024698</v>
      </c>
      <c r="D691">
        <v>1827.9599609375</v>
      </c>
      <c r="E691">
        <v>1496.530029296875</v>
      </c>
      <c r="F691">
        <f>(Table[[#This Row],[price_lag]] - Table[[#This Row],[price]]) / Table[[#This Row],[price]]</f>
        <v>-0.18131137372978651</v>
      </c>
    </row>
    <row r="692" spans="1:6" hidden="1" x14ac:dyDescent="0.2">
      <c r="A692" t="s">
        <v>505</v>
      </c>
      <c r="B692" t="s">
        <v>197</v>
      </c>
      <c r="C692">
        <v>35.850327590416221</v>
      </c>
      <c r="D692">
        <v>41.586380004882812</v>
      </c>
      <c r="E692">
        <v>48.786384582519531</v>
      </c>
      <c r="F692">
        <f>(Table[[#This Row],[price_lag]] - Table[[#This Row],[price]]) / Table[[#This Row],[price]]</f>
        <v>0.17313371774103298</v>
      </c>
    </row>
    <row r="693" spans="1:6" hidden="1" x14ac:dyDescent="0.2">
      <c r="A693" t="s">
        <v>505</v>
      </c>
      <c r="B693" t="s">
        <v>198</v>
      </c>
      <c r="C693">
        <v>12.893534242437131</v>
      </c>
      <c r="D693">
        <v>91.801963806152344</v>
      </c>
      <c r="E693">
        <v>99.056953430175781</v>
      </c>
      <c r="F693">
        <f>(Table[[#This Row],[price_lag]] - Table[[#This Row],[price]]) / Table[[#This Row],[price]]</f>
        <v>7.902869746166831E-2</v>
      </c>
    </row>
    <row r="694" spans="1:6" hidden="1" x14ac:dyDescent="0.2">
      <c r="A694" t="s">
        <v>505</v>
      </c>
      <c r="B694" t="s">
        <v>199</v>
      </c>
      <c r="C694">
        <v>8.1130418879149833</v>
      </c>
      <c r="D694">
        <v>224.7108154296875</v>
      </c>
      <c r="E694">
        <v>234.60748291015619</v>
      </c>
      <c r="F694">
        <f>(Table[[#This Row],[price_lag]] - Table[[#This Row],[price]]) / Table[[#This Row],[price]]</f>
        <v>4.4041794167959759E-2</v>
      </c>
    </row>
    <row r="695" spans="1:6" hidden="1" x14ac:dyDescent="0.2">
      <c r="A695" t="s">
        <v>505</v>
      </c>
      <c r="B695" t="s">
        <v>200</v>
      </c>
      <c r="C695">
        <v>0</v>
      </c>
      <c r="D695">
        <v>80.444175720214844</v>
      </c>
      <c r="E695">
        <v>65.539642333984375</v>
      </c>
      <c r="F695">
        <f>(Table[[#This Row],[price_lag]] - Table[[#This Row],[price]]) / Table[[#This Row],[price]]</f>
        <v>-0.1852779676439037</v>
      </c>
    </row>
    <row r="696" spans="1:6" hidden="1" x14ac:dyDescent="0.2">
      <c r="A696" t="s">
        <v>505</v>
      </c>
      <c r="B696" t="s">
        <v>201</v>
      </c>
      <c r="C696">
        <v>11.4842414855957</v>
      </c>
      <c r="D696">
        <v>40.424530029296882</v>
      </c>
      <c r="E696">
        <v>44.175075531005859</v>
      </c>
      <c r="F696">
        <f>(Table[[#This Row],[price_lag]] - Table[[#This Row],[price]]) / Table[[#This Row],[price]]</f>
        <v>9.2778951270202609E-2</v>
      </c>
    </row>
    <row r="697" spans="1:6" hidden="1" x14ac:dyDescent="0.2">
      <c r="A697" t="s">
        <v>505</v>
      </c>
      <c r="B697" t="s">
        <v>202</v>
      </c>
      <c r="C697">
        <v>12.97335370580978</v>
      </c>
      <c r="D697">
        <v>165.53999328613281</v>
      </c>
      <c r="E697">
        <v>220.5299987792969</v>
      </c>
      <c r="F697">
        <f>(Table[[#This Row],[price_lag]] - Table[[#This Row],[price]]) / Table[[#This Row],[price]]</f>
        <v>0.33218562113938765</v>
      </c>
    </row>
    <row r="698" spans="1:6" hidden="1" x14ac:dyDescent="0.2">
      <c r="A698" t="s">
        <v>505</v>
      </c>
      <c r="B698" t="s">
        <v>203</v>
      </c>
      <c r="C698">
        <v>21.446196929268211</v>
      </c>
      <c r="D698">
        <v>39.461002349853523</v>
      </c>
      <c r="E698">
        <v>45.375484466552727</v>
      </c>
      <c r="F698">
        <f>(Table[[#This Row],[price_lag]] - Table[[#This Row],[price]]) / Table[[#This Row],[price]]</f>
        <v>0.149881700020252</v>
      </c>
    </row>
    <row r="699" spans="1:6" hidden="1" x14ac:dyDescent="0.2">
      <c r="A699" t="s">
        <v>505</v>
      </c>
      <c r="B699" t="s">
        <v>204</v>
      </c>
      <c r="C699">
        <v>22.853572726361762</v>
      </c>
      <c r="D699">
        <v>172.4100036621094</v>
      </c>
      <c r="E699">
        <v>128.92999267578119</v>
      </c>
      <c r="F699">
        <f>(Table[[#This Row],[price_lag]] - Table[[#This Row],[price]]) / Table[[#This Row],[price]]</f>
        <v>-0.252189606535481</v>
      </c>
    </row>
    <row r="700" spans="1:6" hidden="1" x14ac:dyDescent="0.2">
      <c r="A700" t="s">
        <v>505</v>
      </c>
      <c r="B700" t="s">
        <v>205</v>
      </c>
      <c r="C700">
        <v>0</v>
      </c>
      <c r="D700">
        <v>10.58382511138916</v>
      </c>
      <c r="E700">
        <v>11.823262214660639</v>
      </c>
      <c r="F700">
        <f>(Table[[#This Row],[price_lag]] - Table[[#This Row],[price]]) / Table[[#This Row],[price]]</f>
        <v>0.11710672561451642</v>
      </c>
    </row>
    <row r="701" spans="1:6" hidden="1" x14ac:dyDescent="0.2">
      <c r="A701" t="s">
        <v>505</v>
      </c>
      <c r="B701" t="s">
        <v>206</v>
      </c>
      <c r="C701">
        <v>46.368421588027687</v>
      </c>
      <c r="D701">
        <v>105.7200012207031</v>
      </c>
      <c r="E701">
        <v>84.080001831054688</v>
      </c>
      <c r="F701">
        <f>(Table[[#This Row],[price_lag]] - Table[[#This Row],[price]]) / Table[[#This Row],[price]]</f>
        <v>-0.20469163015305242</v>
      </c>
    </row>
    <row r="702" spans="1:6" hidden="1" x14ac:dyDescent="0.2">
      <c r="A702" t="s">
        <v>505</v>
      </c>
      <c r="B702" t="s">
        <v>207</v>
      </c>
      <c r="C702">
        <v>26.5348025730678</v>
      </c>
      <c r="D702">
        <v>52.008213043212891</v>
      </c>
      <c r="E702">
        <v>48.934780120849609</v>
      </c>
      <c r="F702">
        <f>(Table[[#This Row],[price_lag]] - Table[[#This Row],[price]]) / Table[[#This Row],[price]]</f>
        <v>-5.909514560343785E-2</v>
      </c>
    </row>
    <row r="703" spans="1:6" hidden="1" x14ac:dyDescent="0.2">
      <c r="A703" t="s">
        <v>505</v>
      </c>
      <c r="B703" t="s">
        <v>208</v>
      </c>
      <c r="C703">
        <v>8.8826398181307837</v>
      </c>
      <c r="D703">
        <v>55.782978057861328</v>
      </c>
      <c r="E703">
        <v>63.060001373291023</v>
      </c>
      <c r="F703">
        <f>(Table[[#This Row],[price_lag]] - Table[[#This Row],[price]]) / Table[[#This Row],[price]]</f>
        <v>0.13045239907918765</v>
      </c>
    </row>
    <row r="704" spans="1:6" hidden="1" x14ac:dyDescent="0.2">
      <c r="A704" t="s">
        <v>505</v>
      </c>
      <c r="B704" t="s">
        <v>209</v>
      </c>
      <c r="C704">
        <v>8.1799501066754576</v>
      </c>
      <c r="D704">
        <v>51.370086669921882</v>
      </c>
      <c r="E704">
        <v>57.290000915527337</v>
      </c>
      <c r="F704">
        <f>(Table[[#This Row],[price_lag]] - Table[[#This Row],[price]]) / Table[[#This Row],[price]]</f>
        <v>0.11524049557564153</v>
      </c>
    </row>
    <row r="705" spans="1:6" hidden="1" x14ac:dyDescent="0.2">
      <c r="A705" t="s">
        <v>505</v>
      </c>
      <c r="B705" t="s">
        <v>210</v>
      </c>
      <c r="C705">
        <v>38.675038019816093</v>
      </c>
      <c r="D705">
        <v>23.205022811889648</v>
      </c>
      <c r="E705">
        <v>22.81691932678223</v>
      </c>
      <c r="F705">
        <f>(Table[[#This Row],[price_lag]] - Table[[#This Row],[price]]) / Table[[#This Row],[price]]</f>
        <v>-1.6724977529802912E-2</v>
      </c>
    </row>
    <row r="706" spans="1:6" hidden="1" x14ac:dyDescent="0.2">
      <c r="A706" t="s">
        <v>505</v>
      </c>
      <c r="B706" t="s">
        <v>211</v>
      </c>
      <c r="C706">
        <v>19.95297272239457</v>
      </c>
      <c r="D706">
        <v>42.946060180664062</v>
      </c>
      <c r="E706">
        <v>38.982696533203118</v>
      </c>
      <c r="F706">
        <f>(Table[[#This Row],[price_lag]] - Table[[#This Row],[price]]) / Table[[#This Row],[price]]</f>
        <v>-9.2287013774674506E-2</v>
      </c>
    </row>
    <row r="707" spans="1:6" hidden="1" x14ac:dyDescent="0.2">
      <c r="A707" t="s">
        <v>505</v>
      </c>
      <c r="B707" t="s">
        <v>212</v>
      </c>
      <c r="C707">
        <v>24.886213816129239</v>
      </c>
      <c r="D707">
        <v>207.05329895019531</v>
      </c>
      <c r="E707">
        <v>245.1687316894531</v>
      </c>
      <c r="F707">
        <f>(Table[[#This Row],[price_lag]] - Table[[#This Row],[price]]) / Table[[#This Row],[price]]</f>
        <v>0.18408512654717996</v>
      </c>
    </row>
    <row r="708" spans="1:6" hidden="1" x14ac:dyDescent="0.2">
      <c r="A708" t="s">
        <v>505</v>
      </c>
      <c r="B708" t="s">
        <v>213</v>
      </c>
      <c r="C708">
        <v>32.389423174735818</v>
      </c>
      <c r="D708">
        <v>404.22000122070312</v>
      </c>
      <c r="E708">
        <v>262.8699951171875</v>
      </c>
      <c r="F708">
        <f>(Table[[#This Row],[price_lag]] - Table[[#This Row],[price]]) / Table[[#This Row],[price]]</f>
        <v>-0.34968582869885961</v>
      </c>
    </row>
    <row r="709" spans="1:6" hidden="1" x14ac:dyDescent="0.2">
      <c r="A709" t="s">
        <v>505</v>
      </c>
      <c r="B709" t="s">
        <v>214</v>
      </c>
      <c r="C709">
        <v>33.561227209280922</v>
      </c>
      <c r="D709">
        <v>256.40777587890619</v>
      </c>
      <c r="E709">
        <v>300.47637939453119</v>
      </c>
      <c r="F709">
        <f>(Table[[#This Row],[price_lag]] - Table[[#This Row],[price]]) / Table[[#This Row],[price]]</f>
        <v>0.1718692163861571</v>
      </c>
    </row>
    <row r="710" spans="1:6" hidden="1" x14ac:dyDescent="0.2">
      <c r="A710" t="s">
        <v>505</v>
      </c>
      <c r="B710" t="s">
        <v>215</v>
      </c>
      <c r="C710">
        <v>17.446535938190959</v>
      </c>
      <c r="D710">
        <v>73.973312377929688</v>
      </c>
      <c r="E710">
        <v>75.036178588867188</v>
      </c>
      <c r="F710">
        <f>(Table[[#This Row],[price_lag]] - Table[[#This Row],[price]]) / Table[[#This Row],[price]]</f>
        <v>1.4368238717056715E-2</v>
      </c>
    </row>
    <row r="711" spans="1:6" hidden="1" x14ac:dyDescent="0.2">
      <c r="A711" t="s">
        <v>505</v>
      </c>
      <c r="B711" t="s">
        <v>216</v>
      </c>
      <c r="C711">
        <v>69.882323249937997</v>
      </c>
      <c r="D711">
        <v>528.31036376953125</v>
      </c>
      <c r="E711">
        <v>614.19158935546875</v>
      </c>
      <c r="F711">
        <f>(Table[[#This Row],[price_lag]] - Table[[#This Row],[price]]) / Table[[#This Row],[price]]</f>
        <v>0.16255828292515212</v>
      </c>
    </row>
    <row r="712" spans="1:6" hidden="1" x14ac:dyDescent="0.2">
      <c r="A712" t="s">
        <v>505</v>
      </c>
      <c r="B712" t="s">
        <v>217</v>
      </c>
      <c r="C712">
        <v>33.120599660006427</v>
      </c>
      <c r="D712">
        <v>29.146127700805661</v>
      </c>
      <c r="E712">
        <v>28.257087707519531</v>
      </c>
      <c r="F712">
        <f>(Table[[#This Row],[price_lag]] - Table[[#This Row],[price]]) / Table[[#This Row],[price]]</f>
        <v>-3.0502851096118486E-2</v>
      </c>
    </row>
    <row r="713" spans="1:6" hidden="1" x14ac:dyDescent="0.2">
      <c r="A713" t="s">
        <v>505</v>
      </c>
      <c r="B713" t="s">
        <v>218</v>
      </c>
      <c r="C713">
        <v>28.190946203517161</v>
      </c>
      <c r="D713">
        <v>143.21000671386719</v>
      </c>
      <c r="E713">
        <v>167.3999938964844</v>
      </c>
      <c r="F713">
        <f>(Table[[#This Row],[price_lag]] - Table[[#This Row],[price]]) / Table[[#This Row],[price]]</f>
        <v>0.16891268800055767</v>
      </c>
    </row>
    <row r="714" spans="1:6" hidden="1" x14ac:dyDescent="0.2">
      <c r="A714" t="s">
        <v>505</v>
      </c>
      <c r="B714" t="s">
        <v>219</v>
      </c>
      <c r="C714">
        <v>19.029522446728262</v>
      </c>
      <c r="D714">
        <v>287.72637939453119</v>
      </c>
      <c r="E714">
        <v>338.12649536132812</v>
      </c>
      <c r="F714">
        <f>(Table[[#This Row],[price_lag]] - Table[[#This Row],[price]]) / Table[[#This Row],[price]]</f>
        <v>0.17516682367760295</v>
      </c>
    </row>
    <row r="715" spans="1:6" hidden="1" x14ac:dyDescent="0.2">
      <c r="A715" t="s">
        <v>505</v>
      </c>
      <c r="B715" t="s">
        <v>220</v>
      </c>
      <c r="C715">
        <v>23.51696086379717</v>
      </c>
      <c r="D715">
        <v>49.85595703125</v>
      </c>
      <c r="E715">
        <v>49.103401184082031</v>
      </c>
      <c r="F715">
        <f>(Table[[#This Row],[price_lag]] - Table[[#This Row],[price]]) / Table[[#This Row],[price]]</f>
        <v>-1.5094602370109201E-2</v>
      </c>
    </row>
    <row r="716" spans="1:6" hidden="1" x14ac:dyDescent="0.2">
      <c r="A716" t="s">
        <v>505</v>
      </c>
      <c r="B716" t="s">
        <v>221</v>
      </c>
      <c r="C716">
        <v>6.312534981167194</v>
      </c>
      <c r="D716">
        <v>48.985271453857422</v>
      </c>
      <c r="E716">
        <v>60.848529815673828</v>
      </c>
      <c r="F716">
        <f>(Table[[#This Row],[price_lag]] - Table[[#This Row],[price]]) / Table[[#This Row],[price]]</f>
        <v>0.2421801086269619</v>
      </c>
    </row>
    <row r="717" spans="1:6" hidden="1" x14ac:dyDescent="0.2">
      <c r="A717" t="s">
        <v>505</v>
      </c>
      <c r="B717" t="s">
        <v>222</v>
      </c>
      <c r="C717">
        <v>16.321540790828848</v>
      </c>
      <c r="D717">
        <v>119.4736785888672</v>
      </c>
      <c r="E717">
        <v>137.504638671875</v>
      </c>
      <c r="F717">
        <f>(Table[[#This Row],[price_lag]] - Table[[#This Row],[price]]) / Table[[#This Row],[price]]</f>
        <v>0.1509199373115139</v>
      </c>
    </row>
    <row r="718" spans="1:6" hidden="1" x14ac:dyDescent="0.2">
      <c r="A718" t="s">
        <v>505</v>
      </c>
      <c r="B718" t="s">
        <v>223</v>
      </c>
      <c r="C718">
        <v>17.417664740495621</v>
      </c>
      <c r="D718">
        <v>109.3829345703125</v>
      </c>
      <c r="E718">
        <v>110.2716751098633</v>
      </c>
      <c r="F718">
        <f>(Table[[#This Row],[price_lag]] - Table[[#This Row],[price]]) / Table[[#This Row],[price]]</f>
        <v>8.125038362172517E-3</v>
      </c>
    </row>
    <row r="719" spans="1:6" hidden="1" x14ac:dyDescent="0.2">
      <c r="A719" t="s">
        <v>505</v>
      </c>
      <c r="B719" t="s">
        <v>224</v>
      </c>
      <c r="C719">
        <v>20.09232068302655</v>
      </c>
      <c r="D719">
        <v>79.565589904785156</v>
      </c>
      <c r="E719">
        <v>82.826461791992188</v>
      </c>
      <c r="F719">
        <f>(Table[[#This Row],[price_lag]] - Table[[#This Row],[price]]) / Table[[#This Row],[price]]</f>
        <v>4.0983443861966756E-2</v>
      </c>
    </row>
    <row r="720" spans="1:6" hidden="1" x14ac:dyDescent="0.2">
      <c r="A720" t="s">
        <v>505</v>
      </c>
      <c r="B720" t="s">
        <v>225</v>
      </c>
      <c r="C720">
        <v>9.99429387953675</v>
      </c>
      <c r="D720">
        <v>123.5294723510742</v>
      </c>
      <c r="E720">
        <v>142.41484069824219</v>
      </c>
      <c r="F720">
        <f>(Table[[#This Row],[price_lag]] - Table[[#This Row],[price]]) / Table[[#This Row],[price]]</f>
        <v>0.15288147830418347</v>
      </c>
    </row>
    <row r="721" spans="1:6" hidden="1" x14ac:dyDescent="0.2">
      <c r="A721" t="s">
        <v>505</v>
      </c>
      <c r="B721" t="s">
        <v>226</v>
      </c>
      <c r="C721">
        <v>31.26041624281142</v>
      </c>
      <c r="D721">
        <v>180.05999755859381</v>
      </c>
      <c r="E721">
        <v>136.83000183105469</v>
      </c>
      <c r="F721">
        <f>(Table[[#This Row],[price_lag]] - Table[[#This Row],[price]]) / Table[[#This Row],[price]]</f>
        <v>-0.24008661731471773</v>
      </c>
    </row>
    <row r="722" spans="1:6" hidden="1" x14ac:dyDescent="0.2">
      <c r="A722" t="s">
        <v>505</v>
      </c>
      <c r="B722" t="s">
        <v>227</v>
      </c>
      <c r="C722">
        <v>15.877349659841061</v>
      </c>
      <c r="D722">
        <v>700.5086669921875</v>
      </c>
      <c r="E722">
        <v>792.4215087890625</v>
      </c>
      <c r="F722">
        <f>(Table[[#This Row],[price_lag]] - Table[[#This Row],[price]]) / Table[[#This Row],[price]]</f>
        <v>0.13120871464949352</v>
      </c>
    </row>
    <row r="723" spans="1:6" hidden="1" x14ac:dyDescent="0.2">
      <c r="A723" t="s">
        <v>505</v>
      </c>
      <c r="B723" t="s">
        <v>228</v>
      </c>
      <c r="C723">
        <v>9.1361470655961465</v>
      </c>
      <c r="D723">
        <v>20.09952354431152</v>
      </c>
      <c r="E723">
        <v>24.44459342956543</v>
      </c>
      <c r="F723">
        <f>(Table[[#This Row],[price_lag]] - Table[[#This Row],[price]]) / Table[[#This Row],[price]]</f>
        <v>0.21617775544155288</v>
      </c>
    </row>
    <row r="724" spans="1:6" hidden="1" x14ac:dyDescent="0.2">
      <c r="A724" t="s">
        <v>505</v>
      </c>
      <c r="B724" t="s">
        <v>229</v>
      </c>
      <c r="C724">
        <v>9.0127545987979047</v>
      </c>
      <c r="D724">
        <v>125.81805419921881</v>
      </c>
      <c r="E724">
        <v>132.8059387207031</v>
      </c>
      <c r="F724">
        <f>(Table[[#This Row],[price_lag]] - Table[[#This Row],[price]]) / Table[[#This Row],[price]]</f>
        <v>5.5539600941688042E-2</v>
      </c>
    </row>
    <row r="725" spans="1:6" hidden="1" x14ac:dyDescent="0.2">
      <c r="A725" t="s">
        <v>505</v>
      </c>
      <c r="B725" t="s">
        <v>230</v>
      </c>
      <c r="C725">
        <v>0</v>
      </c>
      <c r="D725">
        <v>72.5008544921875</v>
      </c>
      <c r="E725">
        <v>75.151748657226562</v>
      </c>
      <c r="F725">
        <f>(Table[[#This Row],[price_lag]] - Table[[#This Row],[price]]) / Table[[#This Row],[price]]</f>
        <v>3.6563626506287812E-2</v>
      </c>
    </row>
    <row r="726" spans="1:6" hidden="1" x14ac:dyDescent="0.2">
      <c r="A726" t="s">
        <v>505</v>
      </c>
      <c r="B726" t="s">
        <v>231</v>
      </c>
      <c r="C726">
        <v>13.637484318610801</v>
      </c>
      <c r="D726">
        <v>381.84786987304688</v>
      </c>
      <c r="E726">
        <v>425.5670166015625</v>
      </c>
      <c r="F726">
        <f>(Table[[#This Row],[price_lag]] - Table[[#This Row],[price]]) / Table[[#This Row],[price]]</f>
        <v>0.11449362475964825</v>
      </c>
    </row>
    <row r="727" spans="1:6" hidden="1" x14ac:dyDescent="0.2">
      <c r="A727" t="s">
        <v>505</v>
      </c>
      <c r="B727" t="s">
        <v>232</v>
      </c>
      <c r="C727">
        <v>84.0802001953125</v>
      </c>
      <c r="D727">
        <v>16.8160400390625</v>
      </c>
      <c r="E727">
        <v>18.70615386962891</v>
      </c>
      <c r="F727">
        <f>(Table[[#This Row],[price_lag]] - Table[[#This Row],[price]]) / Table[[#This Row],[price]]</f>
        <v>0.11239946064446837</v>
      </c>
    </row>
    <row r="728" spans="1:6" hidden="1" x14ac:dyDescent="0.2">
      <c r="A728" t="s">
        <v>505</v>
      </c>
      <c r="B728" t="s">
        <v>233</v>
      </c>
      <c r="C728">
        <v>25.7218320604781</v>
      </c>
      <c r="D728">
        <v>73.050003051757812</v>
      </c>
      <c r="E728">
        <v>66.370002746582031</v>
      </c>
      <c r="F728">
        <f>(Table[[#This Row],[price_lag]] - Table[[#This Row],[price]]) / Table[[#This Row],[price]]</f>
        <v>-9.1444216647641047E-2</v>
      </c>
    </row>
    <row r="729" spans="1:6" hidden="1" x14ac:dyDescent="0.2">
      <c r="A729" t="s">
        <v>505</v>
      </c>
      <c r="B729" t="s">
        <v>234</v>
      </c>
      <c r="C729">
        <v>132.15111876139261</v>
      </c>
      <c r="D729">
        <v>163.42970275878909</v>
      </c>
      <c r="E729">
        <v>185.6199951171875</v>
      </c>
      <c r="F729">
        <f>(Table[[#This Row],[price_lag]] - Table[[#This Row],[price]]) / Table[[#This Row],[price]]</f>
        <v>0.13577882100874736</v>
      </c>
    </row>
    <row r="730" spans="1:6" hidden="1" x14ac:dyDescent="0.2">
      <c r="A730" t="s">
        <v>505</v>
      </c>
      <c r="B730" t="s">
        <v>235</v>
      </c>
      <c r="C730">
        <v>24.07248587835403</v>
      </c>
      <c r="D730">
        <v>20.220888137817379</v>
      </c>
      <c r="E730">
        <v>24.413173675537109</v>
      </c>
      <c r="F730">
        <f>(Table[[#This Row],[price_lag]] - Table[[#This Row],[price]]) / Table[[#This Row],[price]]</f>
        <v>0.20732450074135275</v>
      </c>
    </row>
    <row r="731" spans="1:6" hidden="1" x14ac:dyDescent="0.2">
      <c r="A731" t="s">
        <v>505</v>
      </c>
      <c r="B731" t="s">
        <v>236</v>
      </c>
      <c r="C731">
        <v>35.951938113650762</v>
      </c>
      <c r="D731">
        <v>266.04434204101562</v>
      </c>
      <c r="E731">
        <v>259.29278564453119</v>
      </c>
      <c r="F731">
        <f>(Table[[#This Row],[price_lag]] - Table[[#This Row],[price]]) / Table[[#This Row],[price]]</f>
        <v>-2.5377560540052965E-2</v>
      </c>
    </row>
    <row r="732" spans="1:6" hidden="1" x14ac:dyDescent="0.2">
      <c r="A732" t="s">
        <v>505</v>
      </c>
      <c r="B732" t="s">
        <v>237</v>
      </c>
      <c r="C732">
        <v>18.72413898336476</v>
      </c>
      <c r="D732">
        <v>65.160003662109375</v>
      </c>
      <c r="E732">
        <v>67.489997863769531</v>
      </c>
      <c r="F732">
        <f>(Table[[#This Row],[price_lag]] - Table[[#This Row],[price]]) / Table[[#This Row],[price]]</f>
        <v>3.5758042828580298E-2</v>
      </c>
    </row>
    <row r="733" spans="1:6" hidden="1" x14ac:dyDescent="0.2">
      <c r="A733" t="s">
        <v>505</v>
      </c>
      <c r="B733" t="s">
        <v>238</v>
      </c>
      <c r="C733">
        <v>19.72924193006196</v>
      </c>
      <c r="D733">
        <v>362.2288818359375</v>
      </c>
      <c r="E733">
        <v>402.58615112304688</v>
      </c>
      <c r="F733">
        <f>(Table[[#This Row],[price_lag]] - Table[[#This Row],[price]]) / Table[[#This Row],[price]]</f>
        <v>0.11141372571552201</v>
      </c>
    </row>
    <row r="734" spans="1:6" hidden="1" x14ac:dyDescent="0.2">
      <c r="A734" t="s">
        <v>505</v>
      </c>
      <c r="B734" t="s">
        <v>239</v>
      </c>
      <c r="C734">
        <v>22.058362883280932</v>
      </c>
      <c r="D734">
        <v>217.0542907714844</v>
      </c>
      <c r="E734">
        <v>197.21650695800781</v>
      </c>
      <c r="F734">
        <f>(Table[[#This Row],[price_lag]] - Table[[#This Row],[price]]) / Table[[#This Row],[price]]</f>
        <v>-9.1395492542286974E-2</v>
      </c>
    </row>
    <row r="735" spans="1:6" hidden="1" x14ac:dyDescent="0.2">
      <c r="A735" t="s">
        <v>505</v>
      </c>
      <c r="B735" t="s">
        <v>240</v>
      </c>
      <c r="C735">
        <v>22.136548071196579</v>
      </c>
      <c r="D735">
        <v>29.220243453979489</v>
      </c>
      <c r="E735">
        <v>24.127143859863281</v>
      </c>
      <c r="F735">
        <f>(Table[[#This Row],[price_lag]] - Table[[#This Row],[price]]) / Table[[#This Row],[price]]</f>
        <v>-0.17430038193</v>
      </c>
    </row>
    <row r="736" spans="1:6" hidden="1" x14ac:dyDescent="0.2">
      <c r="A736" t="s">
        <v>505</v>
      </c>
      <c r="B736" t="s">
        <v>241</v>
      </c>
      <c r="C736">
        <v>11.63530722260475</v>
      </c>
      <c r="D736">
        <v>14.89319324493408</v>
      </c>
      <c r="E736">
        <v>16.694303512573239</v>
      </c>
      <c r="F736">
        <f>(Table[[#This Row],[price_lag]] - Table[[#This Row],[price]]) / Table[[#This Row],[price]]</f>
        <v>0.120935130432945</v>
      </c>
    </row>
    <row r="737" spans="1:6" hidden="1" x14ac:dyDescent="0.2">
      <c r="A737" t="s">
        <v>505</v>
      </c>
      <c r="B737" t="s">
        <v>242</v>
      </c>
      <c r="C737">
        <v>46.014483612362703</v>
      </c>
      <c r="D737">
        <v>185.89851379394531</v>
      </c>
      <c r="E737">
        <v>196.11553955078119</v>
      </c>
      <c r="F737">
        <f>(Table[[#This Row],[price_lag]] - Table[[#This Row],[price]]) / Table[[#This Row],[price]]</f>
        <v>5.4960233669004446E-2</v>
      </c>
    </row>
    <row r="738" spans="1:6" hidden="1" x14ac:dyDescent="0.2">
      <c r="A738" t="s">
        <v>505</v>
      </c>
      <c r="B738" t="s">
        <v>243</v>
      </c>
      <c r="C738">
        <v>7.3862864647382569</v>
      </c>
      <c r="D738">
        <v>23.93156814575195</v>
      </c>
      <c r="E738">
        <v>26.90952110290527</v>
      </c>
      <c r="F738">
        <f>(Table[[#This Row],[price_lag]] - Table[[#This Row],[price]]) / Table[[#This Row],[price]]</f>
        <v>0.12443618149117953</v>
      </c>
    </row>
    <row r="739" spans="1:6" hidden="1" x14ac:dyDescent="0.2">
      <c r="A739" t="s">
        <v>505</v>
      </c>
      <c r="B739" t="s">
        <v>244</v>
      </c>
      <c r="C739">
        <v>22.153449579097298</v>
      </c>
      <c r="D739">
        <v>405.8511962890625</v>
      </c>
      <c r="E739">
        <v>428.88388061523438</v>
      </c>
      <c r="F739">
        <f>(Table[[#This Row],[price_lag]] - Table[[#This Row],[price]]) / Table[[#This Row],[price]]</f>
        <v>5.6751549673312113E-2</v>
      </c>
    </row>
    <row r="740" spans="1:6" hidden="1" x14ac:dyDescent="0.2">
      <c r="A740" t="s">
        <v>505</v>
      </c>
      <c r="B740" t="s">
        <v>245</v>
      </c>
      <c r="C740">
        <v>13.42908893011313</v>
      </c>
      <c r="D740">
        <v>242.79792785644531</v>
      </c>
      <c r="E740">
        <v>259.28189086914062</v>
      </c>
      <c r="F740">
        <f>(Table[[#This Row],[price_lag]] - Table[[#This Row],[price]]) / Table[[#This Row],[price]]</f>
        <v>6.789169560969846E-2</v>
      </c>
    </row>
    <row r="741" spans="1:6" hidden="1" x14ac:dyDescent="0.2">
      <c r="A741" t="s">
        <v>505</v>
      </c>
      <c r="B741" t="s">
        <v>246</v>
      </c>
      <c r="C741">
        <v>11.761360168457029</v>
      </c>
      <c r="D741">
        <v>16.46590423583984</v>
      </c>
      <c r="E741">
        <v>17.119192123413089</v>
      </c>
      <c r="F741">
        <f>(Table[[#This Row],[price_lag]] - Table[[#This Row],[price]]) / Table[[#This Row],[price]]</f>
        <v>3.967519051588414E-2</v>
      </c>
    </row>
    <row r="742" spans="1:6" hidden="1" x14ac:dyDescent="0.2">
      <c r="A742" t="s">
        <v>505</v>
      </c>
      <c r="B742" t="s">
        <v>247</v>
      </c>
      <c r="C742">
        <v>15.493579726145059</v>
      </c>
      <c r="D742">
        <v>239.22087097167969</v>
      </c>
      <c r="E742">
        <v>286.64590454101562</v>
      </c>
      <c r="F742">
        <f>(Table[[#This Row],[price_lag]] - Table[[#This Row],[price]]) / Table[[#This Row],[price]]</f>
        <v>0.19824789273905111</v>
      </c>
    </row>
    <row r="743" spans="1:6" hidden="1" x14ac:dyDescent="0.2">
      <c r="A743" t="s">
        <v>505</v>
      </c>
      <c r="B743" t="s">
        <v>248</v>
      </c>
      <c r="C743">
        <v>30.846906112412281</v>
      </c>
      <c r="D743">
        <v>291.19479370117188</v>
      </c>
      <c r="E743">
        <v>280.61282348632812</v>
      </c>
      <c r="F743">
        <f>(Table[[#This Row],[price_lag]] - Table[[#This Row],[price]]) / Table[[#This Row],[price]]</f>
        <v>-3.6339833141739185E-2</v>
      </c>
    </row>
    <row r="744" spans="1:6" hidden="1" x14ac:dyDescent="0.2">
      <c r="A744" t="s">
        <v>505</v>
      </c>
      <c r="B744" t="s">
        <v>249</v>
      </c>
      <c r="C744">
        <v>24.930443160835349</v>
      </c>
      <c r="D744">
        <v>173.51588439941409</v>
      </c>
      <c r="E744">
        <v>161.47404479980469</v>
      </c>
      <c r="F744">
        <f>(Table[[#This Row],[price_lag]] - Table[[#This Row],[price]]) / Table[[#This Row],[price]]</f>
        <v>-6.9399061885829658E-2</v>
      </c>
    </row>
    <row r="745" spans="1:6" hidden="1" x14ac:dyDescent="0.2">
      <c r="A745" t="s">
        <v>505</v>
      </c>
      <c r="B745" t="s">
        <v>250</v>
      </c>
      <c r="C745">
        <v>36.635247736029292</v>
      </c>
      <c r="D745">
        <v>536.34002685546875</v>
      </c>
      <c r="E745">
        <v>638.8900146484375</v>
      </c>
      <c r="F745">
        <f>(Table[[#This Row],[price_lag]] - Table[[#This Row],[price]]) / Table[[#This Row],[price]]</f>
        <v>0.19120330883043268</v>
      </c>
    </row>
    <row r="746" spans="1:6" hidden="1" x14ac:dyDescent="0.2">
      <c r="A746" t="s">
        <v>505</v>
      </c>
      <c r="B746" t="s">
        <v>251</v>
      </c>
      <c r="C746">
        <v>23.65792592366536</v>
      </c>
      <c r="D746">
        <v>244.14979553222659</v>
      </c>
      <c r="E746">
        <v>259.08627319335938</v>
      </c>
      <c r="F746">
        <f>(Table[[#This Row],[price_lag]] - Table[[#This Row],[price]]) / Table[[#This Row],[price]]</f>
        <v>6.1177514519610732E-2</v>
      </c>
    </row>
    <row r="747" spans="1:6" hidden="1" x14ac:dyDescent="0.2">
      <c r="A747" t="s">
        <v>505</v>
      </c>
      <c r="B747" t="s">
        <v>252</v>
      </c>
      <c r="C747">
        <v>8.1459328318326669</v>
      </c>
      <c r="D747">
        <v>68.099998474121094</v>
      </c>
      <c r="E747">
        <v>84.80999755859375</v>
      </c>
      <c r="F747">
        <f>(Table[[#This Row],[price_lag]] - Table[[#This Row],[price]]) / Table[[#This Row],[price]]</f>
        <v>0.24537444139330897</v>
      </c>
    </row>
    <row r="748" spans="1:6" hidden="1" x14ac:dyDescent="0.2">
      <c r="A748" t="s">
        <v>505</v>
      </c>
      <c r="B748" t="s">
        <v>253</v>
      </c>
      <c r="C748">
        <v>0</v>
      </c>
      <c r="D748">
        <v>83.13800048828125</v>
      </c>
      <c r="E748">
        <v>82.598739624023438</v>
      </c>
      <c r="F748">
        <f>(Table[[#This Row],[price_lag]] - Table[[#This Row],[price]]) / Table[[#This Row],[price]]</f>
        <v>-6.4863343006886995E-3</v>
      </c>
    </row>
    <row r="749" spans="1:6" hidden="1" x14ac:dyDescent="0.2">
      <c r="A749" t="s">
        <v>505</v>
      </c>
      <c r="B749" t="s">
        <v>254</v>
      </c>
      <c r="C749">
        <v>245.4531192779541</v>
      </c>
      <c r="D749">
        <v>314.17999267578119</v>
      </c>
      <c r="E749">
        <v>308.73001098632812</v>
      </c>
      <c r="F749">
        <f>(Table[[#This Row],[price_lag]] - Table[[#This Row],[price]]) / Table[[#This Row],[price]]</f>
        <v>-1.7346686028722365E-2</v>
      </c>
    </row>
    <row r="750" spans="1:6" hidden="1" x14ac:dyDescent="0.2">
      <c r="A750" t="s">
        <v>505</v>
      </c>
      <c r="B750" t="s">
        <v>255</v>
      </c>
      <c r="C750">
        <v>0</v>
      </c>
      <c r="D750">
        <v>22.39999961853027</v>
      </c>
      <c r="E750">
        <v>33.549999237060547</v>
      </c>
      <c r="F750">
        <f>(Table[[#This Row],[price_lag]] - Table[[#This Row],[price]]) / Table[[#This Row],[price]]</f>
        <v>0.49776784858989481</v>
      </c>
    </row>
    <row r="751" spans="1:6" hidden="1" x14ac:dyDescent="0.2">
      <c r="A751" t="s">
        <v>505</v>
      </c>
      <c r="B751" t="s">
        <v>256</v>
      </c>
      <c r="C751">
        <v>30.606468251887581</v>
      </c>
      <c r="D751">
        <v>182.41455078125</v>
      </c>
      <c r="E751">
        <v>167.97894287109381</v>
      </c>
      <c r="F751">
        <f>(Table[[#This Row],[price_lag]] - Table[[#This Row],[price]]) / Table[[#This Row],[price]]</f>
        <v>-7.9136274208011254E-2</v>
      </c>
    </row>
    <row r="752" spans="1:6" hidden="1" x14ac:dyDescent="0.2">
      <c r="A752" t="s">
        <v>505</v>
      </c>
      <c r="B752" t="s">
        <v>257</v>
      </c>
      <c r="C752">
        <v>7.5960949375040858</v>
      </c>
      <c r="D752">
        <v>72.618667602539062</v>
      </c>
      <c r="E752">
        <v>61.163669586181641</v>
      </c>
      <c r="F752">
        <f>(Table[[#This Row],[price_lag]] - Table[[#This Row],[price]]) / Table[[#This Row],[price]]</f>
        <v>-0.15774178175580994</v>
      </c>
    </row>
    <row r="753" spans="1:6" hidden="1" x14ac:dyDescent="0.2">
      <c r="A753" t="s">
        <v>505</v>
      </c>
      <c r="B753" t="s">
        <v>258</v>
      </c>
      <c r="C753">
        <v>81.802361352103091</v>
      </c>
      <c r="D753">
        <v>45.809322357177727</v>
      </c>
      <c r="E753">
        <v>45.833011627197273</v>
      </c>
      <c r="F753">
        <f>(Table[[#This Row],[price_lag]] - Table[[#This Row],[price]]) / Table[[#This Row],[price]]</f>
        <v>5.1712771114226404E-4</v>
      </c>
    </row>
    <row r="754" spans="1:6" hidden="1" x14ac:dyDescent="0.2">
      <c r="A754" t="s">
        <v>505</v>
      </c>
      <c r="B754" t="s">
        <v>259</v>
      </c>
      <c r="C754">
        <v>144.0601797664867</v>
      </c>
      <c r="D754">
        <v>783.6873779296875</v>
      </c>
      <c r="E754">
        <v>680.4110107421875</v>
      </c>
      <c r="F754">
        <f>(Table[[#This Row],[price_lag]] - Table[[#This Row],[price]]) / Table[[#This Row],[price]]</f>
        <v>-0.13178260885141621</v>
      </c>
    </row>
    <row r="755" spans="1:6" hidden="1" x14ac:dyDescent="0.2">
      <c r="A755" t="s">
        <v>505</v>
      </c>
      <c r="B755" t="s">
        <v>260</v>
      </c>
      <c r="C755">
        <v>73.83287678594175</v>
      </c>
      <c r="D755">
        <v>543.40997314453125</v>
      </c>
      <c r="E755">
        <v>447.23001098632812</v>
      </c>
      <c r="F755">
        <f>(Table[[#This Row],[price_lag]] - Table[[#This Row],[price]]) / Table[[#This Row],[price]]</f>
        <v>-0.17699336948426239</v>
      </c>
    </row>
    <row r="756" spans="1:6" hidden="1" x14ac:dyDescent="0.2">
      <c r="A756" t="s">
        <v>505</v>
      </c>
      <c r="B756" t="s">
        <v>261</v>
      </c>
      <c r="C756">
        <v>0</v>
      </c>
      <c r="D756">
        <v>15.47935676574707</v>
      </c>
      <c r="E756">
        <v>22.739109039306641</v>
      </c>
      <c r="F756">
        <f>(Table[[#This Row],[price_lag]] - Table[[#This Row],[price]]) / Table[[#This Row],[price]]</f>
        <v>0.46899573305423442</v>
      </c>
    </row>
    <row r="757" spans="1:6" hidden="1" x14ac:dyDescent="0.2">
      <c r="A757" t="s">
        <v>505</v>
      </c>
      <c r="B757" t="s">
        <v>262</v>
      </c>
      <c r="C757">
        <v>34.910890330439017</v>
      </c>
      <c r="D757">
        <v>32.118019104003913</v>
      </c>
      <c r="E757">
        <v>29.008163452148441</v>
      </c>
      <c r="F757">
        <f>(Table[[#This Row],[price_lag]] - Table[[#This Row],[price]]) / Table[[#This Row],[price]]</f>
        <v>-9.6825885861304251E-2</v>
      </c>
    </row>
    <row r="758" spans="1:6" hidden="1" x14ac:dyDescent="0.2">
      <c r="A758" t="s">
        <v>505</v>
      </c>
      <c r="B758" t="s">
        <v>263</v>
      </c>
      <c r="C758">
        <v>25.417741344821071</v>
      </c>
      <c r="D758">
        <v>157.5899963378906</v>
      </c>
      <c r="E758">
        <v>189.94000244140619</v>
      </c>
      <c r="F758">
        <f>(Table[[#This Row],[price_lag]] - Table[[#This Row],[price]]) / Table[[#This Row],[price]]</f>
        <v>0.20527956631303906</v>
      </c>
    </row>
    <row r="759" spans="1:6" hidden="1" x14ac:dyDescent="0.2">
      <c r="A759" t="s">
        <v>505</v>
      </c>
      <c r="B759" t="s">
        <v>264</v>
      </c>
      <c r="C759">
        <v>0</v>
      </c>
      <c r="D759">
        <v>100.6826629638672</v>
      </c>
      <c r="E759">
        <v>100.88330078125</v>
      </c>
      <c r="F759">
        <f>(Table[[#This Row],[price_lag]] - Table[[#This Row],[price]]) / Table[[#This Row],[price]]</f>
        <v>1.9927742421235201E-3</v>
      </c>
    </row>
    <row r="760" spans="1:6" hidden="1" x14ac:dyDescent="0.2">
      <c r="A760" t="s">
        <v>505</v>
      </c>
      <c r="B760" t="s">
        <v>265</v>
      </c>
      <c r="C760">
        <v>26.862646445239591</v>
      </c>
      <c r="D760">
        <v>142.77711486816409</v>
      </c>
      <c r="E760">
        <v>133.82073974609381</v>
      </c>
      <c r="F760">
        <f>(Table[[#This Row],[price_lag]] - Table[[#This Row],[price]]) / Table[[#This Row],[price]]</f>
        <v>-6.2729766814102667E-2</v>
      </c>
    </row>
    <row r="761" spans="1:6" hidden="1" x14ac:dyDescent="0.2">
      <c r="A761" t="s">
        <v>505</v>
      </c>
      <c r="B761" t="s">
        <v>266</v>
      </c>
      <c r="C761">
        <v>26.577235896412919</v>
      </c>
      <c r="D761">
        <v>217.93333435058591</v>
      </c>
      <c r="E761">
        <v>217.08393859863281</v>
      </c>
      <c r="F761">
        <f>(Table[[#This Row],[price_lag]] - Table[[#This Row],[price]]) / Table[[#This Row],[price]]</f>
        <v>-3.897502667428963E-3</v>
      </c>
    </row>
    <row r="762" spans="1:6" hidden="1" x14ac:dyDescent="0.2">
      <c r="A762" t="s">
        <v>505</v>
      </c>
      <c r="B762" t="s">
        <v>267</v>
      </c>
      <c r="C762">
        <v>25.532855950728479</v>
      </c>
      <c r="D762">
        <v>178.92669677734381</v>
      </c>
      <c r="E762">
        <v>148.43412780761719</v>
      </c>
      <c r="F762">
        <f>(Table[[#This Row],[price_lag]] - Table[[#This Row],[price]]) / Table[[#This Row],[price]]</f>
        <v>-0.17041933662739853</v>
      </c>
    </row>
    <row r="763" spans="1:6" hidden="1" x14ac:dyDescent="0.2">
      <c r="A763" t="s">
        <v>505</v>
      </c>
      <c r="B763" t="s">
        <v>268</v>
      </c>
      <c r="C763">
        <v>21.104598506804439</v>
      </c>
      <c r="D763">
        <v>130.8485107421875</v>
      </c>
      <c r="E763">
        <v>149.4989929199219</v>
      </c>
      <c r="F763">
        <f>(Table[[#This Row],[price_lag]] - Table[[#This Row],[price]]) / Table[[#This Row],[price]]</f>
        <v>0.14253492127611361</v>
      </c>
    </row>
    <row r="764" spans="1:6" hidden="1" x14ac:dyDescent="0.2">
      <c r="A764" t="s">
        <v>505</v>
      </c>
      <c r="B764" t="s">
        <v>269</v>
      </c>
      <c r="C764">
        <v>16.37412686259945</v>
      </c>
      <c r="D764">
        <v>150.68028259277341</v>
      </c>
      <c r="E764">
        <v>184.2501525878906</v>
      </c>
      <c r="F764">
        <f>(Table[[#This Row],[price_lag]] - Table[[#This Row],[price]]) / Table[[#This Row],[price]]</f>
        <v>0.22278873796542237</v>
      </c>
    </row>
    <row r="765" spans="1:6" hidden="1" x14ac:dyDescent="0.2">
      <c r="A765" t="s">
        <v>505</v>
      </c>
      <c r="B765" t="s">
        <v>270</v>
      </c>
      <c r="C765">
        <v>24.677570735182719</v>
      </c>
      <c r="D765">
        <v>105.620002746582</v>
      </c>
      <c r="E765">
        <v>109.9499969482422</v>
      </c>
      <c r="F765">
        <f>(Table[[#This Row],[price_lag]] - Table[[#This Row],[price]]) / Table[[#This Row],[price]]</f>
        <v>4.0995967516203484E-2</v>
      </c>
    </row>
    <row r="766" spans="1:6" hidden="1" x14ac:dyDescent="0.2">
      <c r="A766" t="s">
        <v>505</v>
      </c>
      <c r="B766" t="s">
        <v>271</v>
      </c>
      <c r="C766">
        <v>13.61117844354539</v>
      </c>
      <c r="D766">
        <v>285.83474731445312</v>
      </c>
      <c r="E766">
        <v>312.49429321289062</v>
      </c>
      <c r="F766">
        <f>(Table[[#This Row],[price_lag]] - Table[[#This Row],[price]]) / Table[[#This Row],[price]]</f>
        <v>9.3269086942423918E-2</v>
      </c>
    </row>
    <row r="767" spans="1:6" hidden="1" x14ac:dyDescent="0.2">
      <c r="A767" t="s">
        <v>505</v>
      </c>
      <c r="B767" t="s">
        <v>272</v>
      </c>
      <c r="C767">
        <v>23.265127702192832</v>
      </c>
      <c r="D767">
        <v>20.473312377929691</v>
      </c>
      <c r="E767">
        <v>16.028095245361332</v>
      </c>
      <c r="F767">
        <f>(Table[[#This Row],[price_lag]] - Table[[#This Row],[price]]) / Table[[#This Row],[price]]</f>
        <v>-0.21712251786673858</v>
      </c>
    </row>
    <row r="768" spans="1:6" hidden="1" x14ac:dyDescent="0.2">
      <c r="A768" t="s">
        <v>505</v>
      </c>
      <c r="B768" t="s">
        <v>273</v>
      </c>
      <c r="C768">
        <v>20.30979156494141</v>
      </c>
      <c r="D768">
        <v>32.49566650390625</v>
      </c>
      <c r="E768">
        <v>25.300527572631839</v>
      </c>
      <c r="F768">
        <f>(Table[[#This Row],[price_lag]] - Table[[#This Row],[price]]) / Table[[#This Row],[price]]</f>
        <v>-0.22141841375709265</v>
      </c>
    </row>
    <row r="769" spans="1:6" hidden="1" x14ac:dyDescent="0.2">
      <c r="A769" t="s">
        <v>505</v>
      </c>
      <c r="B769" t="s">
        <v>274</v>
      </c>
      <c r="C769">
        <v>12.17555999755859</v>
      </c>
      <c r="D769">
        <v>17.045783996582031</v>
      </c>
      <c r="E769">
        <v>18.48423004150391</v>
      </c>
      <c r="F769">
        <f>(Table[[#This Row],[price_lag]] - Table[[#This Row],[price]]) / Table[[#This Row],[price]]</f>
        <v>8.4387203616466774E-2</v>
      </c>
    </row>
    <row r="770" spans="1:6" hidden="1" x14ac:dyDescent="0.2">
      <c r="A770" t="s">
        <v>505</v>
      </c>
      <c r="B770" t="s">
        <v>275</v>
      </c>
      <c r="C770">
        <v>36.905405542871968</v>
      </c>
      <c r="D770">
        <v>163.86000061035159</v>
      </c>
      <c r="E770">
        <v>174.91999816894531</v>
      </c>
      <c r="F770">
        <f>(Table[[#This Row],[price_lag]] - Table[[#This Row],[price]]) / Table[[#This Row],[price]]</f>
        <v>6.7496628325381711E-2</v>
      </c>
    </row>
    <row r="771" spans="1:6" hidden="1" x14ac:dyDescent="0.2">
      <c r="A771" t="s">
        <v>505</v>
      </c>
      <c r="B771" t="s">
        <v>276</v>
      </c>
      <c r="C771">
        <v>20.609413097107328</v>
      </c>
      <c r="D771">
        <v>126.1296081542969</v>
      </c>
      <c r="E771">
        <v>122.84706115722661</v>
      </c>
      <c r="F771">
        <f>(Table[[#This Row],[price_lag]] - Table[[#This Row],[price]]) / Table[[#This Row],[price]]</f>
        <v>-2.6025189843249905E-2</v>
      </c>
    </row>
    <row r="772" spans="1:6" hidden="1" x14ac:dyDescent="0.2">
      <c r="A772" t="s">
        <v>505</v>
      </c>
      <c r="B772" t="s">
        <v>277</v>
      </c>
      <c r="C772">
        <v>22.308623272439711</v>
      </c>
      <c r="D772">
        <v>20.523933410644531</v>
      </c>
      <c r="E772">
        <v>21.57097244262695</v>
      </c>
      <c r="F772">
        <f>(Table[[#This Row],[price_lag]] - Table[[#This Row],[price]]) / Table[[#This Row],[price]]</f>
        <v>5.1015514961638982E-2</v>
      </c>
    </row>
    <row r="773" spans="1:6" hidden="1" x14ac:dyDescent="0.2">
      <c r="A773" t="s">
        <v>505</v>
      </c>
      <c r="B773" t="s">
        <v>278</v>
      </c>
      <c r="C773">
        <v>22.474208474159241</v>
      </c>
      <c r="D773">
        <v>28.766986846923832</v>
      </c>
      <c r="E773">
        <v>27.993282318115231</v>
      </c>
      <c r="F773">
        <f>(Table[[#This Row],[price_lag]] - Table[[#This Row],[price]]) / Table[[#This Row],[price]]</f>
        <v>-2.6895570708384293E-2</v>
      </c>
    </row>
    <row r="774" spans="1:6" hidden="1" x14ac:dyDescent="0.2">
      <c r="A774" t="s">
        <v>505</v>
      </c>
      <c r="B774" t="s">
        <v>279</v>
      </c>
      <c r="C774">
        <v>62.57194662993809</v>
      </c>
      <c r="D774">
        <v>132.65252685546881</v>
      </c>
      <c r="E774">
        <v>129.74952697753909</v>
      </c>
      <c r="F774">
        <f>(Table[[#This Row],[price_lag]] - Table[[#This Row],[price]]) / Table[[#This Row],[price]]</f>
        <v>-2.1884241082664572E-2</v>
      </c>
    </row>
    <row r="775" spans="1:6" hidden="1" x14ac:dyDescent="0.2">
      <c r="A775" t="s">
        <v>505</v>
      </c>
      <c r="B775" t="s">
        <v>280</v>
      </c>
      <c r="C775">
        <v>24.48676535379219</v>
      </c>
      <c r="D775">
        <v>892.2977294921875</v>
      </c>
      <c r="E775">
        <v>1076.793334960938</v>
      </c>
      <c r="F775">
        <f>(Table[[#This Row],[price_lag]] - Table[[#This Row],[price]]) / Table[[#This Row],[price]]</f>
        <v>0.20676462504700993</v>
      </c>
    </row>
    <row r="776" spans="1:6" hidden="1" x14ac:dyDescent="0.2">
      <c r="A776" t="s">
        <v>505</v>
      </c>
      <c r="B776" t="s">
        <v>281</v>
      </c>
      <c r="C776">
        <v>0</v>
      </c>
      <c r="D776">
        <v>25.048740386962891</v>
      </c>
      <c r="E776">
        <v>25.633125305175781</v>
      </c>
      <c r="F776">
        <f>(Table[[#This Row],[price_lag]] - Table[[#This Row],[price]]) / Table[[#This Row],[price]]</f>
        <v>2.3329912370246179E-2</v>
      </c>
    </row>
    <row r="777" spans="1:6" hidden="1" x14ac:dyDescent="0.2">
      <c r="A777" t="s">
        <v>505</v>
      </c>
      <c r="B777" t="s">
        <v>282</v>
      </c>
      <c r="C777">
        <v>19.502396635956821</v>
      </c>
      <c r="D777">
        <v>70.988723754882812</v>
      </c>
      <c r="E777">
        <v>67.052360534667969</v>
      </c>
      <c r="F777">
        <f>(Table[[#This Row],[price_lag]] - Table[[#This Row],[price]]) / Table[[#This Row],[price]]</f>
        <v>-5.5450542170707627E-2</v>
      </c>
    </row>
    <row r="778" spans="1:6" hidden="1" x14ac:dyDescent="0.2">
      <c r="A778" t="s">
        <v>505</v>
      </c>
      <c r="B778" t="s">
        <v>283</v>
      </c>
      <c r="C778">
        <v>25.377734437280768</v>
      </c>
      <c r="D778">
        <v>248.70179748535159</v>
      </c>
      <c r="E778">
        <v>304.14358520507812</v>
      </c>
      <c r="F778">
        <f>(Table[[#This Row],[price_lag]] - Table[[#This Row],[price]]) / Table[[#This Row],[price]]</f>
        <v>0.22292475679831797</v>
      </c>
    </row>
    <row r="779" spans="1:6" hidden="1" x14ac:dyDescent="0.2">
      <c r="A779" t="s">
        <v>505</v>
      </c>
      <c r="B779" t="s">
        <v>284</v>
      </c>
      <c r="C779">
        <v>22.906545003255211</v>
      </c>
      <c r="D779">
        <v>261.13461303710938</v>
      </c>
      <c r="E779">
        <v>286.29403686523438</v>
      </c>
      <c r="F779">
        <f>(Table[[#This Row],[price_lag]] - Table[[#This Row],[price]]) / Table[[#This Row],[price]]</f>
        <v>9.6346568291004908E-2</v>
      </c>
    </row>
    <row r="780" spans="1:6" hidden="1" x14ac:dyDescent="0.2">
      <c r="A780" t="s">
        <v>505</v>
      </c>
      <c r="B780" t="s">
        <v>285</v>
      </c>
      <c r="C780">
        <v>17.960830971046729</v>
      </c>
      <c r="D780">
        <v>96.988487243652344</v>
      </c>
      <c r="E780">
        <v>133.67991638183591</v>
      </c>
      <c r="F780">
        <f>(Table[[#This Row],[price_lag]] - Table[[#This Row],[price]]) / Table[[#This Row],[price]]</f>
        <v>0.37830705665104525</v>
      </c>
    </row>
    <row r="781" spans="1:6" hidden="1" x14ac:dyDescent="0.2">
      <c r="A781" t="s">
        <v>505</v>
      </c>
      <c r="B781" t="s">
        <v>286</v>
      </c>
      <c r="C781">
        <v>15.06098803351907</v>
      </c>
      <c r="D781">
        <v>51.207359313964837</v>
      </c>
      <c r="E781">
        <v>57.734455108642578</v>
      </c>
      <c r="F781">
        <f>(Table[[#This Row],[price_lag]] - Table[[#This Row],[price]]) / Table[[#This Row],[price]]</f>
        <v>0.12746401849504721</v>
      </c>
    </row>
    <row r="782" spans="1:6" hidden="1" x14ac:dyDescent="0.2">
      <c r="A782" t="s">
        <v>505</v>
      </c>
      <c r="B782" t="s">
        <v>287</v>
      </c>
      <c r="C782">
        <v>16.336000326908</v>
      </c>
      <c r="D782">
        <v>43.127040863037109</v>
      </c>
      <c r="E782">
        <v>53.572158813476562</v>
      </c>
      <c r="F782">
        <f>(Table[[#This Row],[price_lag]] - Table[[#This Row],[price]]) / Table[[#This Row],[price]]</f>
        <v>0.2421941719491274</v>
      </c>
    </row>
    <row r="783" spans="1:6" hidden="1" x14ac:dyDescent="0.2">
      <c r="A783" t="s">
        <v>505</v>
      </c>
      <c r="B783" t="s">
        <v>288</v>
      </c>
      <c r="C783">
        <v>12.958746932127299</v>
      </c>
      <c r="D783">
        <v>157.06001281738281</v>
      </c>
      <c r="E783">
        <v>188.53175354003909</v>
      </c>
      <c r="F783">
        <f>(Table[[#This Row],[price_lag]] - Table[[#This Row],[price]]) / Table[[#This Row],[price]]</f>
        <v>0.20038035244049784</v>
      </c>
    </row>
    <row r="784" spans="1:6" hidden="1" x14ac:dyDescent="0.2">
      <c r="A784" t="s">
        <v>505</v>
      </c>
      <c r="B784" t="s">
        <v>289</v>
      </c>
      <c r="C784">
        <v>15.146875118023781</v>
      </c>
      <c r="D784">
        <v>109.6633758544922</v>
      </c>
      <c r="E784">
        <v>125.5055236816406</v>
      </c>
      <c r="F784">
        <f>(Table[[#This Row],[price_lag]] - Table[[#This Row],[price]]) / Table[[#This Row],[price]]</f>
        <v>0.14446160993774881</v>
      </c>
    </row>
    <row r="785" spans="1:6" hidden="1" x14ac:dyDescent="0.2">
      <c r="A785" t="s">
        <v>505</v>
      </c>
      <c r="B785" t="s">
        <v>290</v>
      </c>
      <c r="C785">
        <v>18.139436833427759</v>
      </c>
      <c r="D785">
        <v>570.30389404296875</v>
      </c>
      <c r="E785">
        <v>527.9669189453125</v>
      </c>
      <c r="F785">
        <f>(Table[[#This Row],[price_lag]] - Table[[#This Row],[price]]) / Table[[#This Row],[price]]</f>
        <v>-7.423581627248442E-2</v>
      </c>
    </row>
    <row r="786" spans="1:6" hidden="1" x14ac:dyDescent="0.2">
      <c r="A786" t="s">
        <v>505</v>
      </c>
      <c r="B786" t="s">
        <v>291</v>
      </c>
      <c r="C786">
        <v>30.82067338247148</v>
      </c>
      <c r="D786">
        <v>776.68096923828125</v>
      </c>
      <c r="E786">
        <v>761.881103515625</v>
      </c>
      <c r="F786">
        <f>(Table[[#This Row],[price_lag]] - Table[[#This Row],[price]]) / Table[[#This Row],[price]]</f>
        <v>-1.9055270193076838E-2</v>
      </c>
    </row>
    <row r="787" spans="1:6" hidden="1" x14ac:dyDescent="0.2">
      <c r="A787" t="s">
        <v>505</v>
      </c>
      <c r="B787" t="s">
        <v>292</v>
      </c>
      <c r="C787">
        <v>31.064809163411461</v>
      </c>
      <c r="D787">
        <v>465.97213745117188</v>
      </c>
      <c r="E787">
        <v>473.25704956054688</v>
      </c>
      <c r="F787">
        <f>(Table[[#This Row],[price_lag]] - Table[[#This Row],[price]]) / Table[[#This Row],[price]]</f>
        <v>1.5633793362029868E-2</v>
      </c>
    </row>
    <row r="788" spans="1:6" hidden="1" x14ac:dyDescent="0.2">
      <c r="A788" t="s">
        <v>505</v>
      </c>
      <c r="B788" t="s">
        <v>293</v>
      </c>
      <c r="C788">
        <v>92.243901694693221</v>
      </c>
      <c r="D788">
        <v>151.2799987792969</v>
      </c>
      <c r="E788">
        <v>163.3999938964844</v>
      </c>
      <c r="F788">
        <f>(Table[[#This Row],[price_lag]] - Table[[#This Row],[price]]) / Table[[#This Row],[price]]</f>
        <v>8.0116308930365726E-2</v>
      </c>
    </row>
    <row r="789" spans="1:6" hidden="1" x14ac:dyDescent="0.2">
      <c r="A789" t="s">
        <v>505</v>
      </c>
      <c r="B789" t="s">
        <v>294</v>
      </c>
      <c r="C789">
        <v>12.096101125081381</v>
      </c>
      <c r="D789">
        <v>36.288303375244141</v>
      </c>
      <c r="E789">
        <v>30.230474472045898</v>
      </c>
      <c r="F789">
        <f>(Table[[#This Row],[price_lag]] - Table[[#This Row],[price]]) / Table[[#This Row],[price]]</f>
        <v>-0.16693612926888418</v>
      </c>
    </row>
    <row r="790" spans="1:6" hidden="1" x14ac:dyDescent="0.2">
      <c r="A790" t="s">
        <v>505</v>
      </c>
      <c r="B790" t="s">
        <v>295</v>
      </c>
      <c r="C790">
        <v>78.13717567757385</v>
      </c>
      <c r="D790">
        <v>456.32110595703119</v>
      </c>
      <c r="E790">
        <v>495.44842529296881</v>
      </c>
      <c r="F790">
        <f>(Table[[#This Row],[price_lag]] - Table[[#This Row],[price]]) / Table[[#This Row],[price]]</f>
        <v>8.574514486652296E-2</v>
      </c>
    </row>
    <row r="791" spans="1:6" hidden="1" x14ac:dyDescent="0.2">
      <c r="A791" t="s">
        <v>505</v>
      </c>
      <c r="B791" t="s">
        <v>296</v>
      </c>
      <c r="C791">
        <v>12.238818693925991</v>
      </c>
      <c r="D791">
        <v>91.546363830566406</v>
      </c>
      <c r="E791">
        <v>100.331413269043</v>
      </c>
      <c r="F791">
        <f>(Table[[#This Row],[price_lag]] - Table[[#This Row],[price]]) / Table[[#This Row],[price]]</f>
        <v>9.5962844081234303E-2</v>
      </c>
    </row>
    <row r="792" spans="1:6" hidden="1" x14ac:dyDescent="0.2">
      <c r="A792" t="s">
        <v>505</v>
      </c>
      <c r="B792" t="s">
        <v>297</v>
      </c>
      <c r="C792">
        <v>12.7707098131982</v>
      </c>
      <c r="D792">
        <v>218.6345520019531</v>
      </c>
      <c r="E792">
        <v>248.96234130859381</v>
      </c>
      <c r="F792">
        <f>(Table[[#This Row],[price_lag]] - Table[[#This Row],[price]]) / Table[[#This Row],[price]]</f>
        <v>0.13871453084126331</v>
      </c>
    </row>
    <row r="793" spans="1:6" hidden="1" x14ac:dyDescent="0.2">
      <c r="A793" t="s">
        <v>505</v>
      </c>
      <c r="B793" t="s">
        <v>298</v>
      </c>
      <c r="C793">
        <v>19.159677567020541</v>
      </c>
      <c r="D793">
        <v>237.58000183105469</v>
      </c>
      <c r="E793">
        <v>177.92999267578119</v>
      </c>
      <c r="F793">
        <f>(Table[[#This Row],[price_lag]] - Table[[#This Row],[price]]) / Table[[#This Row],[price]]</f>
        <v>-0.25107335927074859</v>
      </c>
    </row>
    <row r="794" spans="1:6" hidden="1" x14ac:dyDescent="0.2">
      <c r="A794" t="s">
        <v>505</v>
      </c>
      <c r="B794" t="s">
        <v>299</v>
      </c>
      <c r="C794">
        <v>40.390356849221618</v>
      </c>
      <c r="D794">
        <v>54.930885314941413</v>
      </c>
      <c r="E794">
        <v>47.668601989746087</v>
      </c>
      <c r="F794">
        <f>(Table[[#This Row],[price_lag]] - Table[[#This Row],[price]]) / Table[[#This Row],[price]]</f>
        <v>-0.13220765118853742</v>
      </c>
    </row>
    <row r="795" spans="1:6" hidden="1" x14ac:dyDescent="0.2">
      <c r="A795" t="s">
        <v>505</v>
      </c>
      <c r="B795" t="s">
        <v>300</v>
      </c>
      <c r="C795">
        <v>11.21060456468466</v>
      </c>
      <c r="D795">
        <v>191.02870178222659</v>
      </c>
      <c r="E795">
        <v>196.06163024902341</v>
      </c>
      <c r="F795">
        <f>(Table[[#This Row],[price_lag]] - Table[[#This Row],[price]]) / Table[[#This Row],[price]]</f>
        <v>2.6346451710352797E-2</v>
      </c>
    </row>
    <row r="796" spans="1:6" hidden="1" x14ac:dyDescent="0.2">
      <c r="A796" t="s">
        <v>505</v>
      </c>
      <c r="B796" t="s">
        <v>301</v>
      </c>
      <c r="C796">
        <v>10.3764437665843</v>
      </c>
      <c r="D796">
        <v>164.36286926269531</v>
      </c>
      <c r="E796">
        <v>191.77442932128909</v>
      </c>
      <c r="F796">
        <f>(Table[[#This Row],[price_lag]] - Table[[#This Row],[price]]) / Table[[#This Row],[price]]</f>
        <v>0.16677465039128064</v>
      </c>
    </row>
    <row r="797" spans="1:6" hidden="1" x14ac:dyDescent="0.2">
      <c r="A797" t="s">
        <v>505</v>
      </c>
      <c r="B797" t="s">
        <v>302</v>
      </c>
      <c r="C797">
        <v>28.986158920208201</v>
      </c>
      <c r="D797">
        <v>221.4542541503906</v>
      </c>
      <c r="E797">
        <v>173.484375</v>
      </c>
      <c r="F797">
        <f>(Table[[#This Row],[price_lag]] - Table[[#This Row],[price]]) / Table[[#This Row],[price]]</f>
        <v>-0.21661303971977</v>
      </c>
    </row>
    <row r="798" spans="1:6" hidden="1" x14ac:dyDescent="0.2">
      <c r="A798" t="s">
        <v>505</v>
      </c>
      <c r="B798" t="s">
        <v>303</v>
      </c>
      <c r="C798">
        <v>24.44900402919852</v>
      </c>
      <c r="D798">
        <v>271.8729248046875</v>
      </c>
      <c r="E798">
        <v>259.82601928710938</v>
      </c>
      <c r="F798">
        <f>(Table[[#This Row],[price_lag]] - Table[[#This Row],[price]]) / Table[[#This Row],[price]]</f>
        <v>-4.4310795296120704E-2</v>
      </c>
    </row>
    <row r="799" spans="1:6" hidden="1" x14ac:dyDescent="0.2">
      <c r="A799" t="s">
        <v>505</v>
      </c>
      <c r="B799" t="s">
        <v>304</v>
      </c>
      <c r="C799">
        <v>22.025272710536559</v>
      </c>
      <c r="D799">
        <v>216.72868347167969</v>
      </c>
      <c r="E799">
        <v>200.62892150878909</v>
      </c>
      <c r="F799">
        <f>(Table[[#This Row],[price_lag]] - Table[[#This Row],[price]]) / Table[[#This Row],[price]]</f>
        <v>-7.4285330880046532E-2</v>
      </c>
    </row>
    <row r="800" spans="1:6" hidden="1" x14ac:dyDescent="0.2">
      <c r="A800" t="s">
        <v>505</v>
      </c>
      <c r="B800" t="s">
        <v>305</v>
      </c>
      <c r="C800">
        <v>25.16041923971737</v>
      </c>
      <c r="D800">
        <v>547.49072265625</v>
      </c>
      <c r="E800">
        <v>629.440673828125</v>
      </c>
      <c r="F800">
        <f>(Table[[#This Row],[price_lag]] - Table[[#This Row],[price]]) / Table[[#This Row],[price]]</f>
        <v>0.14968281247631016</v>
      </c>
    </row>
    <row r="801" spans="1:6" hidden="1" x14ac:dyDescent="0.2">
      <c r="A801" t="s">
        <v>505</v>
      </c>
      <c r="B801" t="s">
        <v>306</v>
      </c>
      <c r="C801">
        <v>12.35875014043526</v>
      </c>
      <c r="D801">
        <v>63.752464294433587</v>
      </c>
      <c r="E801">
        <v>70.038612365722656</v>
      </c>
      <c r="F801">
        <f>(Table[[#This Row],[price_lag]] - Table[[#This Row],[price]]) / Table[[#This Row],[price]]</f>
        <v>9.8602432719419306E-2</v>
      </c>
    </row>
    <row r="802" spans="1:6" hidden="1" x14ac:dyDescent="0.2">
      <c r="A802" t="s">
        <v>505</v>
      </c>
      <c r="B802" t="s">
        <v>307</v>
      </c>
      <c r="C802">
        <v>34.289229149911918</v>
      </c>
      <c r="D802">
        <v>559.6002197265625</v>
      </c>
      <c r="E802">
        <v>567.2080078125</v>
      </c>
      <c r="F802">
        <f>(Table[[#This Row],[price_lag]] - Table[[#This Row],[price]]) / Table[[#This Row],[price]]</f>
        <v>1.3595041277244126E-2</v>
      </c>
    </row>
    <row r="803" spans="1:6" hidden="1" x14ac:dyDescent="0.2">
      <c r="A803" t="s">
        <v>505</v>
      </c>
      <c r="B803" t="s">
        <v>308</v>
      </c>
      <c r="C803">
        <v>14.883553748037301</v>
      </c>
      <c r="D803">
        <v>30.36244964599609</v>
      </c>
      <c r="E803">
        <v>34.92132568359375</v>
      </c>
      <c r="F803">
        <f>(Table[[#This Row],[price_lag]] - Table[[#This Row],[price]]) / Table[[#This Row],[price]]</f>
        <v>0.15014849232360408</v>
      </c>
    </row>
    <row r="804" spans="1:6" hidden="1" x14ac:dyDescent="0.2">
      <c r="A804" t="s">
        <v>505</v>
      </c>
      <c r="B804" t="s">
        <v>309</v>
      </c>
      <c r="C804">
        <v>28.58688061053936</v>
      </c>
      <c r="D804">
        <v>74.325889587402344</v>
      </c>
      <c r="E804">
        <v>65.986602783203125</v>
      </c>
      <c r="F804">
        <f>(Table[[#This Row],[price_lag]] - Table[[#This Row],[price]]) / Table[[#This Row],[price]]</f>
        <v>-0.11219895046654998</v>
      </c>
    </row>
    <row r="805" spans="1:6" hidden="1" x14ac:dyDescent="0.2">
      <c r="A805" t="s">
        <v>505</v>
      </c>
      <c r="B805" t="s">
        <v>310</v>
      </c>
      <c r="C805">
        <v>22.867309882756039</v>
      </c>
      <c r="D805">
        <v>288.78768920898438</v>
      </c>
      <c r="E805">
        <v>302.07730102539062</v>
      </c>
      <c r="F805">
        <f>(Table[[#This Row],[price_lag]] - Table[[#This Row],[price]]) / Table[[#This Row],[price]]</f>
        <v>4.6018623068066714E-2</v>
      </c>
    </row>
    <row r="806" spans="1:6" hidden="1" x14ac:dyDescent="0.2">
      <c r="A806" t="s">
        <v>505</v>
      </c>
      <c r="B806" t="s">
        <v>311</v>
      </c>
      <c r="C806">
        <v>29.109228340683469</v>
      </c>
      <c r="D806">
        <v>731.22381591796875</v>
      </c>
      <c r="E806">
        <v>771.821044921875</v>
      </c>
      <c r="F806">
        <f>(Table[[#This Row],[price_lag]] - Table[[#This Row],[price]]) / Table[[#This Row],[price]]</f>
        <v>5.5519566130297633E-2</v>
      </c>
    </row>
    <row r="807" spans="1:6" hidden="1" x14ac:dyDescent="0.2">
      <c r="A807" t="s">
        <v>505</v>
      </c>
      <c r="B807" t="s">
        <v>312</v>
      </c>
      <c r="C807">
        <v>26.701752933455101</v>
      </c>
      <c r="D807">
        <v>86.513679504394531</v>
      </c>
      <c r="E807">
        <v>95.239997863769531</v>
      </c>
      <c r="F807">
        <f>(Table[[#This Row],[price_lag]] - Table[[#This Row],[price]]) / Table[[#This Row],[price]]</f>
        <v>0.10086634170879</v>
      </c>
    </row>
    <row r="808" spans="1:6" hidden="1" x14ac:dyDescent="0.2">
      <c r="A808" t="s">
        <v>505</v>
      </c>
      <c r="B808" t="s">
        <v>313</v>
      </c>
      <c r="C808">
        <v>10.986428120230761</v>
      </c>
      <c r="D808">
        <v>77.721420288085938</v>
      </c>
      <c r="E808">
        <v>83.218727111816406</v>
      </c>
      <c r="F808">
        <f>(Table[[#This Row],[price_lag]] - Table[[#This Row],[price]]) / Table[[#This Row],[price]]</f>
        <v>7.073091051802563E-2</v>
      </c>
    </row>
    <row r="809" spans="1:6" hidden="1" x14ac:dyDescent="0.2">
      <c r="A809" t="s">
        <v>505</v>
      </c>
      <c r="B809" t="s">
        <v>314</v>
      </c>
      <c r="C809">
        <v>25.308759919889681</v>
      </c>
      <c r="D809">
        <v>736.9910888671875</v>
      </c>
      <c r="E809">
        <v>733.78155517578125</v>
      </c>
      <c r="F809">
        <f>(Table[[#This Row],[price_lag]] - Table[[#This Row],[price]]) / Table[[#This Row],[price]]</f>
        <v>-4.3549151948900121E-3</v>
      </c>
    </row>
    <row r="810" spans="1:6" hidden="1" x14ac:dyDescent="0.2">
      <c r="A810" t="s">
        <v>505</v>
      </c>
      <c r="B810" t="s">
        <v>315</v>
      </c>
      <c r="C810">
        <v>19.037372139592151</v>
      </c>
      <c r="D810">
        <v>79.237274169921875</v>
      </c>
      <c r="E810">
        <v>81.779342651367188</v>
      </c>
      <c r="F810">
        <f>(Table[[#This Row],[price_lag]] - Table[[#This Row],[price]]) / Table[[#This Row],[price]]</f>
        <v>3.2081725527230098E-2</v>
      </c>
    </row>
    <row r="811" spans="1:6" hidden="1" x14ac:dyDescent="0.2">
      <c r="A811" t="s">
        <v>505</v>
      </c>
      <c r="B811" t="s">
        <v>316</v>
      </c>
      <c r="C811">
        <v>30.02862910795309</v>
      </c>
      <c r="D811">
        <v>1174.719970703125</v>
      </c>
      <c r="E811">
        <v>1227.609985351562</v>
      </c>
      <c r="F811">
        <f>(Table[[#This Row],[price_lag]] - Table[[#This Row],[price]]) / Table[[#This Row],[price]]</f>
        <v>4.502350855308937E-2</v>
      </c>
    </row>
    <row r="812" spans="1:6" hidden="1" x14ac:dyDescent="0.2">
      <c r="A812" t="s">
        <v>505</v>
      </c>
      <c r="B812" t="s">
        <v>317</v>
      </c>
      <c r="C812">
        <v>47.76388804117839</v>
      </c>
      <c r="D812">
        <v>34.389999389648438</v>
      </c>
      <c r="E812">
        <v>34.659999847412109</v>
      </c>
      <c r="F812">
        <f>(Table[[#This Row],[price_lag]] - Table[[#This Row],[price]]) / Table[[#This Row],[price]]</f>
        <v>7.8511329617802599E-3</v>
      </c>
    </row>
    <row r="813" spans="1:6" hidden="1" x14ac:dyDescent="0.2">
      <c r="A813" t="s">
        <v>505</v>
      </c>
      <c r="B813" t="s">
        <v>318</v>
      </c>
      <c r="C813">
        <v>0</v>
      </c>
      <c r="D813">
        <v>69.260902404785156</v>
      </c>
      <c r="E813">
        <v>63.645931243896477</v>
      </c>
      <c r="F813">
        <f>(Table[[#This Row],[price_lag]] - Table[[#This Row],[price]]) / Table[[#This Row],[price]]</f>
        <v>-8.1069852773110088E-2</v>
      </c>
    </row>
    <row r="814" spans="1:6" hidden="1" x14ac:dyDescent="0.2">
      <c r="A814" t="s">
        <v>505</v>
      </c>
      <c r="B814" t="s">
        <v>319</v>
      </c>
      <c r="C814">
        <v>18.1963519937188</v>
      </c>
      <c r="D814">
        <v>123.00733947753911</v>
      </c>
      <c r="E814">
        <v>167.14776611328119</v>
      </c>
      <c r="F814">
        <f>(Table[[#This Row],[price_lag]] - Table[[#This Row],[price]]) / Table[[#This Row],[price]]</f>
        <v>0.35884384479189585</v>
      </c>
    </row>
    <row r="815" spans="1:6" hidden="1" x14ac:dyDescent="0.2">
      <c r="A815" t="s">
        <v>505</v>
      </c>
      <c r="B815" t="s">
        <v>320</v>
      </c>
      <c r="C815">
        <v>33.856964111328118</v>
      </c>
      <c r="D815">
        <v>495.66595458984381</v>
      </c>
      <c r="E815">
        <v>516.982421875</v>
      </c>
      <c r="F815">
        <f>(Table[[#This Row],[price_lag]] - Table[[#This Row],[price]]) / Table[[#This Row],[price]]</f>
        <v>4.3005711987613215E-2</v>
      </c>
    </row>
    <row r="816" spans="1:6" hidden="1" x14ac:dyDescent="0.2">
      <c r="A816" t="s">
        <v>505</v>
      </c>
      <c r="B816" t="s">
        <v>321</v>
      </c>
      <c r="C816">
        <v>38.924291859502382</v>
      </c>
      <c r="D816">
        <v>143.24139404296881</v>
      </c>
      <c r="E816">
        <v>136.59629821777341</v>
      </c>
      <c r="F816">
        <f>(Table[[#This Row],[price_lag]] - Table[[#This Row],[price]]) / Table[[#This Row],[price]]</f>
        <v>-4.639089049358202E-2</v>
      </c>
    </row>
    <row r="817" spans="1:6" hidden="1" x14ac:dyDescent="0.2">
      <c r="A817" t="s">
        <v>505</v>
      </c>
      <c r="B817" t="s">
        <v>322</v>
      </c>
      <c r="C817">
        <v>0</v>
      </c>
      <c r="D817">
        <v>27.590000152587891</v>
      </c>
      <c r="E817">
        <v>25.829999923706051</v>
      </c>
      <c r="F817">
        <f>(Table[[#This Row],[price_lag]] - Table[[#This Row],[price]]) / Table[[#This Row],[price]]</f>
        <v>-6.3791236649078265E-2</v>
      </c>
    </row>
    <row r="818" spans="1:6" hidden="1" x14ac:dyDescent="0.2">
      <c r="A818" t="s">
        <v>505</v>
      </c>
      <c r="B818" t="s">
        <v>323</v>
      </c>
      <c r="C818">
        <v>11.153191099775601</v>
      </c>
      <c r="D818">
        <v>104.8399963378906</v>
      </c>
      <c r="E818">
        <v>128.91999816894531</v>
      </c>
      <c r="F818">
        <f>(Table[[#This Row],[price_lag]] - Table[[#This Row],[price]]) / Table[[#This Row],[price]]</f>
        <v>0.22968335246261237</v>
      </c>
    </row>
    <row r="819" spans="1:6" hidden="1" x14ac:dyDescent="0.2">
      <c r="A819" t="s">
        <v>505</v>
      </c>
      <c r="B819" t="s">
        <v>324</v>
      </c>
      <c r="C819">
        <v>15.771176889633971</v>
      </c>
      <c r="D819">
        <v>297.89999389648438</v>
      </c>
      <c r="E819">
        <v>191.36000061035159</v>
      </c>
      <c r="F819">
        <f>(Table[[#This Row],[price_lag]] - Table[[#This Row],[price]]) / Table[[#This Row],[price]]</f>
        <v>-0.3576367756595315</v>
      </c>
    </row>
    <row r="820" spans="1:6" hidden="1" x14ac:dyDescent="0.2">
      <c r="A820" t="s">
        <v>505</v>
      </c>
      <c r="B820" t="s">
        <v>325</v>
      </c>
      <c r="C820">
        <v>5.5076893244948337</v>
      </c>
      <c r="D820">
        <v>47.145820617675781</v>
      </c>
      <c r="E820">
        <v>44.783298492431641</v>
      </c>
      <c r="F820">
        <f>(Table[[#This Row],[price_lag]] - Table[[#This Row],[price]]) / Table[[#This Row],[price]]</f>
        <v>-5.0110955632796647E-2</v>
      </c>
    </row>
    <row r="821" spans="1:6" hidden="1" x14ac:dyDescent="0.2">
      <c r="A821" t="s">
        <v>505</v>
      </c>
      <c r="B821" t="s">
        <v>326</v>
      </c>
      <c r="C821">
        <v>33.8220907717335</v>
      </c>
      <c r="D821">
        <v>66.291297912597656</v>
      </c>
      <c r="E821">
        <v>61.900123596191413</v>
      </c>
      <c r="F821">
        <f>(Table[[#This Row],[price_lag]] - Table[[#This Row],[price]]) / Table[[#This Row],[price]]</f>
        <v>-6.624058443079249E-2</v>
      </c>
    </row>
    <row r="822" spans="1:6" hidden="1" x14ac:dyDescent="0.2">
      <c r="A822" t="s">
        <v>505</v>
      </c>
      <c r="B822" t="s">
        <v>327</v>
      </c>
      <c r="C822">
        <v>65.310067344310042</v>
      </c>
      <c r="D822">
        <v>728.8603515625</v>
      </c>
      <c r="E822">
        <v>919.08551025390625</v>
      </c>
      <c r="F822">
        <f>(Table[[#This Row],[price_lag]] - Table[[#This Row],[price]]) / Table[[#This Row],[price]]</f>
        <v>0.26098985667639846</v>
      </c>
    </row>
    <row r="823" spans="1:6" hidden="1" x14ac:dyDescent="0.2">
      <c r="A823" t="s">
        <v>505</v>
      </c>
      <c r="B823" t="s">
        <v>328</v>
      </c>
      <c r="C823">
        <v>31.319999694824219</v>
      </c>
      <c r="D823">
        <v>62.639999389648438</v>
      </c>
      <c r="E823">
        <v>67.30999755859375</v>
      </c>
      <c r="F823">
        <f>(Table[[#This Row],[price_lag]] - Table[[#This Row],[price]]) / Table[[#This Row],[price]]</f>
        <v>7.4552972772171711E-2</v>
      </c>
    </row>
    <row r="824" spans="1:6" hidden="1" x14ac:dyDescent="0.2">
      <c r="A824" t="s">
        <v>505</v>
      </c>
      <c r="B824" t="s">
        <v>329</v>
      </c>
      <c r="C824">
        <v>38.796099076359909</v>
      </c>
      <c r="D824">
        <v>499.69375610351562</v>
      </c>
      <c r="E824">
        <v>475.5361328125</v>
      </c>
      <c r="F824">
        <f>(Table[[#This Row],[price_lag]] - Table[[#This Row],[price]]) / Table[[#This Row],[price]]</f>
        <v>-4.8344857216929438E-2</v>
      </c>
    </row>
    <row r="825" spans="1:6" hidden="1" x14ac:dyDescent="0.2">
      <c r="A825" t="s">
        <v>505</v>
      </c>
      <c r="B825" t="s">
        <v>330</v>
      </c>
      <c r="C825">
        <v>16.167638024618459</v>
      </c>
      <c r="D825">
        <v>139.04168701171881</v>
      </c>
      <c r="E825">
        <v>157.99812316894531</v>
      </c>
      <c r="F825">
        <f>(Table[[#This Row],[price_lag]] - Table[[#This Row],[price]]) / Table[[#This Row],[price]]</f>
        <v>0.1363363503754727</v>
      </c>
    </row>
    <row r="826" spans="1:6" hidden="1" x14ac:dyDescent="0.2">
      <c r="A826" t="s">
        <v>505</v>
      </c>
      <c r="B826" t="s">
        <v>331</v>
      </c>
      <c r="C826">
        <v>6.934344232803201</v>
      </c>
      <c r="D826">
        <v>35.903427124023438</v>
      </c>
      <c r="E826">
        <v>34.364856719970703</v>
      </c>
      <c r="F826">
        <f>(Table[[#This Row],[price_lag]] - Table[[#This Row],[price]]) / Table[[#This Row],[price]]</f>
        <v>-4.2853023438067767E-2</v>
      </c>
    </row>
    <row r="827" spans="1:6" hidden="1" x14ac:dyDescent="0.2">
      <c r="A827" t="s">
        <v>505</v>
      </c>
      <c r="B827" t="s">
        <v>332</v>
      </c>
      <c r="C827">
        <v>33.938048721907982</v>
      </c>
      <c r="D827">
        <v>418.11676025390619</v>
      </c>
      <c r="E827">
        <v>455.7728271484375</v>
      </c>
      <c r="F827">
        <f>(Table[[#This Row],[price_lag]] - Table[[#This Row],[price]]) / Table[[#This Row],[price]]</f>
        <v>9.0061127594273496E-2</v>
      </c>
    </row>
    <row r="828" spans="1:6" hidden="1" x14ac:dyDescent="0.2">
      <c r="A828" t="s">
        <v>505</v>
      </c>
      <c r="B828" t="s">
        <v>333</v>
      </c>
      <c r="C828">
        <v>36.549743340939891</v>
      </c>
      <c r="D828">
        <v>573.0999755859375</v>
      </c>
      <c r="E828">
        <v>565.62860107421875</v>
      </c>
      <c r="F828">
        <f>(Table[[#This Row],[price_lag]] - Table[[#This Row],[price]]) / Table[[#This Row],[price]]</f>
        <v>-1.3036773390332141E-2</v>
      </c>
    </row>
    <row r="829" spans="1:6" hidden="1" x14ac:dyDescent="0.2">
      <c r="A829" t="s">
        <v>505</v>
      </c>
      <c r="B829" t="s">
        <v>334</v>
      </c>
      <c r="C829">
        <v>28.133401991445801</v>
      </c>
      <c r="D829">
        <v>88.90155029296875</v>
      </c>
      <c r="E829">
        <v>88.185501098632812</v>
      </c>
      <c r="F829">
        <f>(Table[[#This Row],[price_lag]] - Table[[#This Row],[price]]) / Table[[#This Row],[price]]</f>
        <v>-8.0544061602553403E-3</v>
      </c>
    </row>
    <row r="830" spans="1:6" hidden="1" x14ac:dyDescent="0.2">
      <c r="A830" t="s">
        <v>505</v>
      </c>
      <c r="B830" t="s">
        <v>335</v>
      </c>
      <c r="C830">
        <v>22.642942954754009</v>
      </c>
      <c r="D830">
        <v>105.06325531005859</v>
      </c>
      <c r="E830">
        <v>117.37425231933589</v>
      </c>
      <c r="F830">
        <f>(Table[[#This Row],[price_lag]] - Table[[#This Row],[price]]) / Table[[#This Row],[price]]</f>
        <v>0.11717699944614857</v>
      </c>
    </row>
    <row r="831" spans="1:6" hidden="1" x14ac:dyDescent="0.2">
      <c r="A831" t="s">
        <v>505</v>
      </c>
      <c r="B831" t="s">
        <v>336</v>
      </c>
      <c r="C831">
        <v>45.548637545838652</v>
      </c>
      <c r="D831">
        <v>133.9129943847656</v>
      </c>
      <c r="E831">
        <v>119.8919982910156</v>
      </c>
      <c r="F831">
        <f>(Table[[#This Row],[price_lag]] - Table[[#This Row],[price]]) / Table[[#This Row],[price]]</f>
        <v>-0.10470228194184177</v>
      </c>
    </row>
    <row r="832" spans="1:6" hidden="1" x14ac:dyDescent="0.2">
      <c r="A832" t="s">
        <v>505</v>
      </c>
      <c r="B832" t="s">
        <v>337</v>
      </c>
      <c r="C832">
        <v>7.7820711238409883</v>
      </c>
      <c r="D832">
        <v>57.898609161376953</v>
      </c>
      <c r="E832">
        <v>84.065681457519531</v>
      </c>
      <c r="F832">
        <f>(Table[[#This Row],[price_lag]] - Table[[#This Row],[price]]) / Table[[#This Row],[price]]</f>
        <v>0.45194647462443932</v>
      </c>
    </row>
    <row r="833" spans="1:6" hidden="1" x14ac:dyDescent="0.2">
      <c r="A833" t="s">
        <v>505</v>
      </c>
      <c r="B833" t="s">
        <v>338</v>
      </c>
      <c r="C833">
        <v>5.6524768130469862</v>
      </c>
      <c r="D833">
        <v>29.618978500366211</v>
      </c>
      <c r="E833">
        <v>30.70999908447266</v>
      </c>
      <c r="F833">
        <f>(Table[[#This Row],[price_lag]] - Table[[#This Row],[price]]) / Table[[#This Row],[price]]</f>
        <v>3.683518606466997E-2</v>
      </c>
    </row>
    <row r="834" spans="1:6" hidden="1" x14ac:dyDescent="0.2">
      <c r="A834" t="s">
        <v>505</v>
      </c>
      <c r="B834" t="s">
        <v>339</v>
      </c>
      <c r="C834">
        <v>6.5275323299961237</v>
      </c>
      <c r="D834">
        <v>34.204269409179688</v>
      </c>
      <c r="E834">
        <v>34.549999237060547</v>
      </c>
      <c r="F834">
        <f>(Table[[#This Row],[price_lag]] - Table[[#This Row],[price]]) / Table[[#This Row],[price]]</f>
        <v>1.0107797472442811E-2</v>
      </c>
    </row>
    <row r="835" spans="1:6" hidden="1" x14ac:dyDescent="0.2">
      <c r="A835" t="s">
        <v>505</v>
      </c>
      <c r="B835" t="s">
        <v>340</v>
      </c>
      <c r="C835">
        <v>17.278779155076151</v>
      </c>
      <c r="D835">
        <v>68.423965454101562</v>
      </c>
      <c r="E835">
        <v>74.982254028320312</v>
      </c>
      <c r="F835">
        <f>(Table[[#This Row],[price_lag]] - Table[[#This Row],[price]]) / Table[[#This Row],[price]]</f>
        <v>9.5847829495032927E-2</v>
      </c>
    </row>
    <row r="836" spans="1:6" hidden="1" x14ac:dyDescent="0.2">
      <c r="A836" t="s">
        <v>505</v>
      </c>
      <c r="B836" t="s">
        <v>341</v>
      </c>
      <c r="C836">
        <v>125.40069307599749</v>
      </c>
      <c r="D836">
        <v>70.224388122558594</v>
      </c>
      <c r="E836">
        <v>69.287651062011719</v>
      </c>
      <c r="F836">
        <f>(Table[[#This Row],[price_lag]] - Table[[#This Row],[price]]) / Table[[#This Row],[price]]</f>
        <v>-1.3339198611628222E-2</v>
      </c>
    </row>
    <row r="837" spans="1:6" hidden="1" x14ac:dyDescent="0.2">
      <c r="A837" t="s">
        <v>505</v>
      </c>
      <c r="B837" t="s">
        <v>342</v>
      </c>
      <c r="C837">
        <v>45.236028324473978</v>
      </c>
      <c r="D837">
        <v>39.807704925537109</v>
      </c>
      <c r="E837">
        <v>43.012222290039062</v>
      </c>
      <c r="F837">
        <f>(Table[[#This Row],[price_lag]] - Table[[#This Row],[price]]) / Table[[#This Row],[price]]</f>
        <v>8.0499927601860255E-2</v>
      </c>
    </row>
    <row r="838" spans="1:6" hidden="1" x14ac:dyDescent="0.2">
      <c r="A838" t="s">
        <v>505</v>
      </c>
      <c r="B838" t="s">
        <v>343</v>
      </c>
      <c r="C838">
        <v>23.861359053128499</v>
      </c>
      <c r="D838">
        <v>212.84332275390619</v>
      </c>
      <c r="E838">
        <v>226.1626892089844</v>
      </c>
      <c r="F838">
        <f>(Table[[#This Row],[price_lag]] - Table[[#This Row],[price]]) / Table[[#This Row],[price]]</f>
        <v>6.2578267820402031E-2</v>
      </c>
    </row>
    <row r="839" spans="1:6" hidden="1" x14ac:dyDescent="0.2">
      <c r="A839" t="s">
        <v>505</v>
      </c>
      <c r="B839" t="s">
        <v>344</v>
      </c>
      <c r="C839">
        <v>18.53569682569767</v>
      </c>
      <c r="D839">
        <v>253.50798034667969</v>
      </c>
      <c r="E839">
        <v>298.97238159179688</v>
      </c>
      <c r="F839">
        <f>(Table[[#This Row],[price_lag]] - Table[[#This Row],[price]]) / Table[[#This Row],[price]]</f>
        <v>0.17934110469793996</v>
      </c>
    </row>
    <row r="840" spans="1:6" hidden="1" x14ac:dyDescent="0.2">
      <c r="A840" t="s">
        <v>505</v>
      </c>
      <c r="B840" t="s">
        <v>345</v>
      </c>
      <c r="C840">
        <v>14.632003106803539</v>
      </c>
      <c r="D840">
        <v>125.2499465942383</v>
      </c>
      <c r="E840">
        <v>133.7916564941406</v>
      </c>
      <c r="F840">
        <f>(Table[[#This Row],[price_lag]] - Table[[#This Row],[price]]) / Table[[#This Row],[price]]</f>
        <v>6.819731370883661E-2</v>
      </c>
    </row>
    <row r="841" spans="1:6" hidden="1" x14ac:dyDescent="0.2">
      <c r="A841" t="s">
        <v>505</v>
      </c>
      <c r="B841" t="s">
        <v>346</v>
      </c>
      <c r="C841">
        <v>15.17785211233935</v>
      </c>
      <c r="D841">
        <v>496.01220703125</v>
      </c>
      <c r="E841">
        <v>606.8603515625</v>
      </c>
      <c r="F841">
        <f>(Table[[#This Row],[price_lag]] - Table[[#This Row],[price]]) / Table[[#This Row],[price]]</f>
        <v>0.2234786623391837</v>
      </c>
    </row>
    <row r="842" spans="1:6" hidden="1" x14ac:dyDescent="0.2">
      <c r="A842" t="s">
        <v>505</v>
      </c>
      <c r="B842" t="s">
        <v>347</v>
      </c>
      <c r="C842">
        <v>72.428573880876812</v>
      </c>
      <c r="D842">
        <v>20.280000686645511</v>
      </c>
      <c r="E842">
        <v>24.629999160766602</v>
      </c>
      <c r="F842">
        <f>(Table[[#This Row],[price_lag]] - Table[[#This Row],[price]]) / Table[[#This Row],[price]]</f>
        <v>0.21449695891704715</v>
      </c>
    </row>
    <row r="843" spans="1:6" hidden="1" x14ac:dyDescent="0.2">
      <c r="A843" t="s">
        <v>505</v>
      </c>
      <c r="B843" t="s">
        <v>348</v>
      </c>
      <c r="C843">
        <v>0</v>
      </c>
      <c r="D843">
        <v>159.74739074707031</v>
      </c>
      <c r="E843">
        <v>161.5353698730469</v>
      </c>
      <c r="F843">
        <f>(Table[[#This Row],[price_lag]] - Table[[#This Row],[price]]) / Table[[#This Row],[price]]</f>
        <v>1.1192540407796185E-2</v>
      </c>
    </row>
    <row r="844" spans="1:6" hidden="1" x14ac:dyDescent="0.2">
      <c r="A844" t="s">
        <v>505</v>
      </c>
      <c r="B844" t="s">
        <v>349</v>
      </c>
      <c r="C844">
        <v>12.363270979661211</v>
      </c>
      <c r="D844">
        <v>128.57801818847659</v>
      </c>
      <c r="E844">
        <v>134.96978759765619</v>
      </c>
      <c r="F844">
        <f>(Table[[#This Row],[price_lag]] - Table[[#This Row],[price]]) / Table[[#This Row],[price]]</f>
        <v>4.9711214243559128E-2</v>
      </c>
    </row>
    <row r="845" spans="1:6" hidden="1" x14ac:dyDescent="0.2">
      <c r="A845" t="s">
        <v>505</v>
      </c>
      <c r="B845" t="s">
        <v>350</v>
      </c>
      <c r="C845">
        <v>36.567663263391573</v>
      </c>
      <c r="D845">
        <v>157.97230529785159</v>
      </c>
      <c r="E845">
        <v>186.5696105957031</v>
      </c>
      <c r="F845">
        <f>(Table[[#This Row],[price_lag]] - Table[[#This Row],[price]]) / Table[[#This Row],[price]]</f>
        <v>0.18102733415159211</v>
      </c>
    </row>
    <row r="846" spans="1:6" hidden="1" x14ac:dyDescent="0.2">
      <c r="A846" t="s">
        <v>505</v>
      </c>
      <c r="B846" t="s">
        <v>351</v>
      </c>
      <c r="C846">
        <v>16.123079279274361</v>
      </c>
      <c r="D846">
        <v>7385.66015625</v>
      </c>
      <c r="E846">
        <v>8034.66015625</v>
      </c>
      <c r="F846">
        <f>(Table[[#This Row],[price_lag]] - Table[[#This Row],[price]]) / Table[[#This Row],[price]]</f>
        <v>8.7872984441450891E-2</v>
      </c>
    </row>
    <row r="847" spans="1:6" hidden="1" x14ac:dyDescent="0.2">
      <c r="A847" t="s">
        <v>505</v>
      </c>
      <c r="B847" t="s">
        <v>352</v>
      </c>
      <c r="C847">
        <v>30.755745280872691</v>
      </c>
      <c r="D847">
        <v>216.52044677734381</v>
      </c>
      <c r="E847">
        <v>226.71742248535159</v>
      </c>
      <c r="F847">
        <f>(Table[[#This Row],[price_lag]] - Table[[#This Row],[price]]) / Table[[#This Row],[price]]</f>
        <v>4.7094747215692387E-2</v>
      </c>
    </row>
    <row r="848" spans="1:6" hidden="1" x14ac:dyDescent="0.2">
      <c r="A848" t="s">
        <v>505</v>
      </c>
      <c r="B848" t="s">
        <v>353</v>
      </c>
      <c r="C848">
        <v>28.88781963250576</v>
      </c>
      <c r="D848">
        <v>90.129997253417969</v>
      </c>
      <c r="E848">
        <v>107.80999755859381</v>
      </c>
      <c r="F848">
        <f>(Table[[#This Row],[price_lag]] - Table[[#This Row],[price]]) / Table[[#This Row],[price]]</f>
        <v>0.19616110999609918</v>
      </c>
    </row>
    <row r="849" spans="1:6" hidden="1" x14ac:dyDescent="0.2">
      <c r="A849" t="s">
        <v>505</v>
      </c>
      <c r="B849" t="s">
        <v>354</v>
      </c>
      <c r="C849">
        <v>38.467845210322622</v>
      </c>
      <c r="D849">
        <v>41.545272827148438</v>
      </c>
      <c r="E849">
        <v>46.977077484130859</v>
      </c>
      <c r="F849">
        <f>(Table[[#This Row],[price_lag]] - Table[[#This Row],[price]]) / Table[[#This Row],[price]]</f>
        <v>0.1307442288219352</v>
      </c>
    </row>
    <row r="850" spans="1:6" hidden="1" x14ac:dyDescent="0.2">
      <c r="A850" t="s">
        <v>505</v>
      </c>
      <c r="B850" t="s">
        <v>355</v>
      </c>
      <c r="C850">
        <v>31.826022290808009</v>
      </c>
      <c r="D850">
        <v>161.67619323730469</v>
      </c>
      <c r="E850">
        <v>140.5013427734375</v>
      </c>
      <c r="F850">
        <f>(Table[[#This Row],[price_lag]] - Table[[#This Row],[price]]) / Table[[#This Row],[price]]</f>
        <v>-0.13097073873323586</v>
      </c>
    </row>
    <row r="851" spans="1:6" hidden="1" x14ac:dyDescent="0.2">
      <c r="A851" t="s">
        <v>505</v>
      </c>
      <c r="B851" t="s">
        <v>356</v>
      </c>
      <c r="C851">
        <v>13.37095173922452</v>
      </c>
      <c r="D851">
        <v>70.598625183105469</v>
      </c>
      <c r="E851">
        <v>80.731269836425781</v>
      </c>
      <c r="F851">
        <f>(Table[[#This Row],[price_lag]] - Table[[#This Row],[price]]) / Table[[#This Row],[price]]</f>
        <v>0.14352467384513734</v>
      </c>
    </row>
    <row r="852" spans="1:6" hidden="1" x14ac:dyDescent="0.2">
      <c r="A852" t="s">
        <v>505</v>
      </c>
      <c r="B852" t="s">
        <v>357</v>
      </c>
      <c r="C852">
        <v>31.957316980129342</v>
      </c>
      <c r="D852">
        <v>52.409999847412109</v>
      </c>
      <c r="E852">
        <v>49.310001373291023</v>
      </c>
      <c r="F852">
        <f>(Table[[#This Row],[price_lag]] - Table[[#This Row],[price]]) / Table[[#This Row],[price]]</f>
        <v>-5.9148988421036178E-2</v>
      </c>
    </row>
    <row r="853" spans="1:6" hidden="1" x14ac:dyDescent="0.2">
      <c r="A853" t="s">
        <v>505</v>
      </c>
      <c r="B853" t="s">
        <v>358</v>
      </c>
      <c r="C853">
        <v>14.80724847138818</v>
      </c>
      <c r="D853">
        <v>79.366851806640625</v>
      </c>
      <c r="E853">
        <v>71.848228454589844</v>
      </c>
      <c r="F853">
        <f>(Table[[#This Row],[price_lag]] - Table[[#This Row],[price]]) / Table[[#This Row],[price]]</f>
        <v>-9.473253859644333E-2</v>
      </c>
    </row>
    <row r="854" spans="1:6" hidden="1" x14ac:dyDescent="0.2">
      <c r="A854" t="s">
        <v>505</v>
      </c>
      <c r="B854" t="s">
        <v>359</v>
      </c>
      <c r="C854">
        <v>44.511125908523319</v>
      </c>
      <c r="D854">
        <v>217.21429443359381</v>
      </c>
      <c r="E854">
        <v>280.01260375976562</v>
      </c>
      <c r="F854">
        <f>(Table[[#This Row],[price_lag]] - Table[[#This Row],[price]]) / Table[[#This Row],[price]]</f>
        <v>0.28910762751560237</v>
      </c>
    </row>
    <row r="855" spans="1:6" hidden="1" x14ac:dyDescent="0.2">
      <c r="A855" t="s">
        <v>505</v>
      </c>
      <c r="B855" t="s">
        <v>360</v>
      </c>
      <c r="C855">
        <v>24.522006988525391</v>
      </c>
      <c r="D855">
        <v>98.088027954101562</v>
      </c>
      <c r="E855">
        <v>91.006103515625</v>
      </c>
      <c r="F855">
        <f>(Table[[#This Row],[price_lag]] - Table[[#This Row],[price]]) / Table[[#This Row],[price]]</f>
        <v>-7.219968212420802E-2</v>
      </c>
    </row>
    <row r="856" spans="1:6" hidden="1" x14ac:dyDescent="0.2">
      <c r="A856" t="s">
        <v>505</v>
      </c>
      <c r="B856" t="s">
        <v>361</v>
      </c>
      <c r="C856">
        <v>16.891975679259371</v>
      </c>
      <c r="D856">
        <v>93.243705749511719</v>
      </c>
      <c r="E856">
        <v>96.758636474609375</v>
      </c>
      <c r="F856">
        <f>(Table[[#This Row],[price_lag]] - Table[[#This Row],[price]]) / Table[[#This Row],[price]]</f>
        <v>3.7696171520039172E-2</v>
      </c>
    </row>
    <row r="857" spans="1:6" hidden="1" x14ac:dyDescent="0.2">
      <c r="A857" t="s">
        <v>505</v>
      </c>
      <c r="B857" t="s">
        <v>362</v>
      </c>
      <c r="C857">
        <v>17.370625396273031</v>
      </c>
      <c r="D857">
        <v>186.2131042480469</v>
      </c>
      <c r="E857">
        <v>216.60160827636719</v>
      </c>
      <c r="F857">
        <f>(Table[[#This Row],[price_lag]] - Table[[#This Row],[price]]) / Table[[#This Row],[price]]</f>
        <v>0.16319208119661113</v>
      </c>
    </row>
    <row r="858" spans="1:6" hidden="1" x14ac:dyDescent="0.2">
      <c r="A858" t="s">
        <v>505</v>
      </c>
      <c r="B858" t="s">
        <v>363</v>
      </c>
      <c r="C858">
        <v>243.07439039581391</v>
      </c>
      <c r="D858">
        <v>136.32000732421881</v>
      </c>
      <c r="E858">
        <v>182.41999816894531</v>
      </c>
      <c r="F858">
        <f>(Table[[#This Row],[price_lag]] - Table[[#This Row],[price]]) / Table[[#This Row],[price]]</f>
        <v>0.33817479729944466</v>
      </c>
    </row>
    <row r="859" spans="1:6" hidden="1" x14ac:dyDescent="0.2">
      <c r="A859" t="s">
        <v>505</v>
      </c>
      <c r="B859" t="s">
        <v>364</v>
      </c>
      <c r="C859">
        <v>134.6315785458213</v>
      </c>
      <c r="D859">
        <v>204.63999938964841</v>
      </c>
      <c r="E859">
        <v>203.6199951171875</v>
      </c>
      <c r="F859">
        <f>(Table[[#This Row],[price_lag]] - Table[[#This Row],[price]]) / Table[[#This Row],[price]]</f>
        <v>-4.9843836762272064E-3</v>
      </c>
    </row>
    <row r="860" spans="1:6" hidden="1" x14ac:dyDescent="0.2">
      <c r="A860" t="s">
        <v>505</v>
      </c>
      <c r="B860" t="s">
        <v>365</v>
      </c>
      <c r="C860">
        <v>23.976227858970901</v>
      </c>
      <c r="D860">
        <v>695.31060791015625</v>
      </c>
      <c r="E860">
        <v>756.5140380859375</v>
      </c>
      <c r="F860">
        <f>(Table[[#This Row],[price_lag]] - Table[[#This Row],[price]]) / Table[[#This Row],[price]]</f>
        <v>8.8023150343895767E-2</v>
      </c>
    </row>
    <row r="861" spans="1:6" hidden="1" x14ac:dyDescent="0.2">
      <c r="A861" t="s">
        <v>505</v>
      </c>
      <c r="B861" t="s">
        <v>366</v>
      </c>
      <c r="C861">
        <v>43.592369265672637</v>
      </c>
      <c r="D861">
        <v>142.98297119140619</v>
      </c>
      <c r="E861">
        <v>125.5465621948242</v>
      </c>
      <c r="F861">
        <f>(Table[[#This Row],[price_lag]] - Table[[#This Row],[price]]) / Table[[#This Row],[price]]</f>
        <v>-0.12194745186292492</v>
      </c>
    </row>
    <row r="862" spans="1:6" hidden="1" x14ac:dyDescent="0.2">
      <c r="A862" t="s">
        <v>505</v>
      </c>
      <c r="B862" t="s">
        <v>367</v>
      </c>
      <c r="C862">
        <v>36.2412986515453</v>
      </c>
      <c r="D862">
        <v>230.4946594238281</v>
      </c>
      <c r="E862">
        <v>207.6585998535156</v>
      </c>
      <c r="F862">
        <f>(Table[[#This Row],[price_lag]] - Table[[#This Row],[price]]) / Table[[#This Row],[price]]</f>
        <v>-9.9074137454621444E-2</v>
      </c>
    </row>
    <row r="863" spans="1:6" hidden="1" x14ac:dyDescent="0.2">
      <c r="A863" t="s">
        <v>505</v>
      </c>
      <c r="B863" t="s">
        <v>368</v>
      </c>
      <c r="C863">
        <v>14.259344247671271</v>
      </c>
      <c r="D863">
        <v>74.148590087890625</v>
      </c>
      <c r="E863">
        <v>66.905326843261719</v>
      </c>
      <c r="F863">
        <f>(Table[[#This Row],[price_lag]] - Table[[#This Row],[price]]) / Table[[#This Row],[price]]</f>
        <v>-9.768578520566934E-2</v>
      </c>
    </row>
    <row r="864" spans="1:6" hidden="1" x14ac:dyDescent="0.2">
      <c r="A864" t="s">
        <v>505</v>
      </c>
      <c r="B864" t="s">
        <v>369</v>
      </c>
      <c r="C864">
        <v>28.314730326334629</v>
      </c>
      <c r="D864">
        <v>101.9330291748047</v>
      </c>
      <c r="E864">
        <v>110.23394775390619</v>
      </c>
      <c r="F864">
        <f>(Table[[#This Row],[price_lag]] - Table[[#This Row],[price]]) / Table[[#This Row],[price]]</f>
        <v>8.1435023037196963E-2</v>
      </c>
    </row>
    <row r="865" spans="1:6" hidden="1" x14ac:dyDescent="0.2">
      <c r="A865" t="s">
        <v>505</v>
      </c>
      <c r="B865" t="s">
        <v>370</v>
      </c>
      <c r="C865">
        <v>35.188658341117517</v>
      </c>
      <c r="D865">
        <v>129.4942626953125</v>
      </c>
      <c r="E865">
        <v>139.07966613769531</v>
      </c>
      <c r="F865">
        <f>(Table[[#This Row],[price_lag]] - Table[[#This Row],[price]]) / Table[[#This Row],[price]]</f>
        <v>7.4021838827997663E-2</v>
      </c>
    </row>
    <row r="866" spans="1:6" hidden="1" x14ac:dyDescent="0.2">
      <c r="A866" t="s">
        <v>505</v>
      </c>
      <c r="B866" t="s">
        <v>371</v>
      </c>
      <c r="C866">
        <v>11.289563833498489</v>
      </c>
      <c r="D866">
        <v>23.030710220336911</v>
      </c>
      <c r="E866">
        <v>24.626577377319339</v>
      </c>
      <c r="F866">
        <f>(Table[[#This Row],[price_lag]] - Table[[#This Row],[price]]) / Table[[#This Row],[price]]</f>
        <v>6.9293006673030136E-2</v>
      </c>
    </row>
    <row r="867" spans="1:6" hidden="1" x14ac:dyDescent="0.2">
      <c r="A867" t="s">
        <v>505</v>
      </c>
      <c r="B867" t="s">
        <v>372</v>
      </c>
      <c r="C867">
        <v>14.45165077845256</v>
      </c>
      <c r="D867">
        <v>13.87358474731445</v>
      </c>
      <c r="E867">
        <v>15.03310966491699</v>
      </c>
      <c r="F867">
        <f>(Table[[#This Row],[price_lag]] - Table[[#This Row],[price]]) / Table[[#This Row],[price]]</f>
        <v>8.3577888391606459E-2</v>
      </c>
    </row>
    <row r="868" spans="1:6" hidden="1" x14ac:dyDescent="0.2">
      <c r="A868" t="s">
        <v>505</v>
      </c>
      <c r="B868" t="s">
        <v>373</v>
      </c>
      <c r="C868">
        <v>22.92355072803986</v>
      </c>
      <c r="D868">
        <v>178.80369567871091</v>
      </c>
      <c r="E868">
        <v>159.23768615722659</v>
      </c>
      <c r="F868">
        <f>(Table[[#This Row],[price_lag]] - Table[[#This Row],[price]]) / Table[[#This Row],[price]]</f>
        <v>-0.10942732166253501</v>
      </c>
    </row>
    <row r="869" spans="1:6" hidden="1" x14ac:dyDescent="0.2">
      <c r="A869" t="s">
        <v>505</v>
      </c>
      <c r="B869" t="s">
        <v>374</v>
      </c>
      <c r="C869">
        <v>13.62075805664062</v>
      </c>
      <c r="D869">
        <v>117.1385192871094</v>
      </c>
      <c r="E869">
        <v>134.87312316894531</v>
      </c>
      <c r="F869">
        <f>(Table[[#This Row],[price_lag]] - Table[[#This Row],[price]]) / Table[[#This Row],[price]]</f>
        <v>0.1513985663278529</v>
      </c>
    </row>
    <row r="870" spans="1:6" hidden="1" x14ac:dyDescent="0.2">
      <c r="A870" t="s">
        <v>505</v>
      </c>
      <c r="B870" t="s">
        <v>375</v>
      </c>
      <c r="C870">
        <v>13.61423516125412</v>
      </c>
      <c r="D870">
        <v>87.675674438476562</v>
      </c>
      <c r="E870">
        <v>88.73828125</v>
      </c>
      <c r="F870">
        <f>(Table[[#This Row],[price_lag]] - Table[[#This Row],[price]]) / Table[[#This Row],[price]]</f>
        <v>1.2119744938706869E-2</v>
      </c>
    </row>
    <row r="871" spans="1:6" hidden="1" x14ac:dyDescent="0.2">
      <c r="A871" t="s">
        <v>505</v>
      </c>
      <c r="B871" t="s">
        <v>376</v>
      </c>
      <c r="C871">
        <v>11.770638777184359</v>
      </c>
      <c r="D871">
        <v>181.73866271972659</v>
      </c>
      <c r="E871">
        <v>197.58598327636719</v>
      </c>
      <c r="F871">
        <f>(Table[[#This Row],[price_lag]] - Table[[#This Row],[price]]) / Table[[#This Row],[price]]</f>
        <v>8.7198399721252429E-2</v>
      </c>
    </row>
    <row r="872" spans="1:6" hidden="1" x14ac:dyDescent="0.2">
      <c r="A872" t="s">
        <v>505</v>
      </c>
      <c r="B872" t="s">
        <v>377</v>
      </c>
      <c r="C872">
        <v>13.918645487585049</v>
      </c>
      <c r="D872">
        <v>288.95108032226562</v>
      </c>
      <c r="E872">
        <v>308.54592895507812</v>
      </c>
      <c r="F872">
        <f>(Table[[#This Row],[price_lag]] - Table[[#This Row],[price]]) / Table[[#This Row],[price]]</f>
        <v>6.7813723385143493E-2</v>
      </c>
    </row>
    <row r="873" spans="1:6" hidden="1" x14ac:dyDescent="0.2">
      <c r="A873" t="s">
        <v>505</v>
      </c>
      <c r="B873" t="s">
        <v>378</v>
      </c>
      <c r="C873">
        <v>14.161785202797009</v>
      </c>
      <c r="D873">
        <v>112.1613388061523</v>
      </c>
      <c r="E873">
        <v>104.3346481323242</v>
      </c>
      <c r="F873">
        <f>(Table[[#This Row],[price_lag]] - Table[[#This Row],[price]]) / Table[[#This Row],[price]]</f>
        <v>-6.978064596175082E-2</v>
      </c>
    </row>
    <row r="874" spans="1:6" hidden="1" x14ac:dyDescent="0.2">
      <c r="A874" t="s">
        <v>505</v>
      </c>
      <c r="B874" t="s">
        <v>379</v>
      </c>
      <c r="C874">
        <v>33.359424591064453</v>
      </c>
      <c r="D874">
        <v>33.359424591064453</v>
      </c>
      <c r="E874">
        <v>36.85986328125</v>
      </c>
      <c r="F874">
        <f>(Table[[#This Row],[price_lag]] - Table[[#This Row],[price]]) / Table[[#This Row],[price]]</f>
        <v>0.10493102723130192</v>
      </c>
    </row>
    <row r="875" spans="1:6" hidden="1" x14ac:dyDescent="0.2">
      <c r="A875" t="s">
        <v>505</v>
      </c>
      <c r="B875" t="s">
        <v>380</v>
      </c>
      <c r="C875">
        <v>10.76247916037206</v>
      </c>
      <c r="D875">
        <v>77.92034912109375</v>
      </c>
      <c r="E875">
        <v>82.133216857910156</v>
      </c>
      <c r="F875">
        <f>(Table[[#This Row],[price_lag]] - Table[[#This Row],[price]]) / Table[[#This Row],[price]]</f>
        <v>5.4066335486630208E-2</v>
      </c>
    </row>
    <row r="876" spans="1:6" hidden="1" x14ac:dyDescent="0.2">
      <c r="A876" t="s">
        <v>505</v>
      </c>
      <c r="B876" t="s">
        <v>381</v>
      </c>
      <c r="C876">
        <v>25.83297830543771</v>
      </c>
      <c r="D876">
        <v>156.03118896484381</v>
      </c>
      <c r="E876">
        <v>151.5072937011719</v>
      </c>
      <c r="F876">
        <f>(Table[[#This Row],[price_lag]] - Table[[#This Row],[price]]) / Table[[#This Row],[price]]</f>
        <v>-2.8993531957839568E-2</v>
      </c>
    </row>
    <row r="877" spans="1:6" hidden="1" x14ac:dyDescent="0.2">
      <c r="A877" t="s">
        <v>505</v>
      </c>
      <c r="B877" t="s">
        <v>382</v>
      </c>
      <c r="C877">
        <v>11.56472983835368</v>
      </c>
      <c r="D877">
        <v>250.72334289550781</v>
      </c>
      <c r="E877">
        <v>232.1073303222656</v>
      </c>
      <c r="F877">
        <f>(Table[[#This Row],[price_lag]] - Table[[#This Row],[price]]) / Table[[#This Row],[price]]</f>
        <v>-7.4249219710670014E-2</v>
      </c>
    </row>
    <row r="878" spans="1:6" hidden="1" x14ac:dyDescent="0.2">
      <c r="A878" t="s">
        <v>505</v>
      </c>
      <c r="B878" t="s">
        <v>383</v>
      </c>
      <c r="C878">
        <v>42.371099503313907</v>
      </c>
      <c r="D878">
        <v>103.38548278808589</v>
      </c>
      <c r="E878">
        <v>113.6347579956055</v>
      </c>
      <c r="F878">
        <f>(Table[[#This Row],[price_lag]] - Table[[#This Row],[price]]) / Table[[#This Row],[price]]</f>
        <v>9.9136502835006593E-2</v>
      </c>
    </row>
    <row r="879" spans="1:6" hidden="1" x14ac:dyDescent="0.2">
      <c r="A879" t="s">
        <v>505</v>
      </c>
      <c r="B879" t="s">
        <v>384</v>
      </c>
      <c r="C879">
        <v>17.685153033282301</v>
      </c>
      <c r="D879">
        <v>104.69610595703119</v>
      </c>
      <c r="E879">
        <v>102.3870010375977</v>
      </c>
      <c r="F879">
        <f>(Table[[#This Row],[price_lag]] - Table[[#This Row],[price]]) / Table[[#This Row],[price]]</f>
        <v>-2.2055308536319245E-2</v>
      </c>
    </row>
    <row r="880" spans="1:6" hidden="1" x14ac:dyDescent="0.2">
      <c r="A880" t="s">
        <v>505</v>
      </c>
      <c r="B880" t="s">
        <v>385</v>
      </c>
      <c r="C880">
        <v>17.668730718358219</v>
      </c>
      <c r="D880">
        <v>82.855392456054688</v>
      </c>
      <c r="E880">
        <v>82.797203063964844</v>
      </c>
      <c r="F880">
        <f>(Table[[#This Row],[price_lag]] - Table[[#This Row],[price]]) / Table[[#This Row],[price]]</f>
        <v>-7.0230060307428473E-4</v>
      </c>
    </row>
    <row r="881" spans="1:6" hidden="1" x14ac:dyDescent="0.2">
      <c r="A881" t="s">
        <v>505</v>
      </c>
      <c r="B881" t="s">
        <v>386</v>
      </c>
      <c r="C881">
        <v>36.51271108853615</v>
      </c>
      <c r="D881">
        <v>172.3399963378906</v>
      </c>
      <c r="E881">
        <v>203.02000427246091</v>
      </c>
      <c r="F881">
        <f>(Table[[#This Row],[price_lag]] - Table[[#This Row],[price]]) / Table[[#This Row],[price]]</f>
        <v>0.17802024246547474</v>
      </c>
    </row>
    <row r="882" spans="1:6" hidden="1" x14ac:dyDescent="0.2">
      <c r="A882" t="s">
        <v>505</v>
      </c>
      <c r="B882" t="s">
        <v>387</v>
      </c>
      <c r="C882">
        <v>40.801178325306289</v>
      </c>
      <c r="D882">
        <v>287.24029541015619</v>
      </c>
      <c r="E882">
        <v>285.69857788085938</v>
      </c>
      <c r="F882">
        <f>(Table[[#This Row],[price_lag]] - Table[[#This Row],[price]]) / Table[[#This Row],[price]]</f>
        <v>-5.367344185102472E-3</v>
      </c>
    </row>
    <row r="883" spans="1:6" hidden="1" x14ac:dyDescent="0.2">
      <c r="A883" t="s">
        <v>505</v>
      </c>
      <c r="B883" t="s">
        <v>388</v>
      </c>
      <c r="C883">
        <v>8.6124226304351303</v>
      </c>
      <c r="D883">
        <v>105.07155609130859</v>
      </c>
      <c r="E883">
        <v>131.85845947265619</v>
      </c>
      <c r="F883">
        <f>(Table[[#This Row],[price_lag]] - Table[[#This Row],[price]]) / Table[[#This Row],[price]]</f>
        <v>0.25493962760073163</v>
      </c>
    </row>
    <row r="884" spans="1:6" hidden="1" x14ac:dyDescent="0.2">
      <c r="A884" t="s">
        <v>505</v>
      </c>
      <c r="B884" t="s">
        <v>389</v>
      </c>
      <c r="C884">
        <v>61.329591429078732</v>
      </c>
      <c r="D884">
        <v>377.790283203125</v>
      </c>
      <c r="E884">
        <v>414.21200561523438</v>
      </c>
      <c r="F884">
        <f>(Table[[#This Row],[price_lag]] - Table[[#This Row],[price]]) / Table[[#This Row],[price]]</f>
        <v>9.6407250348804374E-2</v>
      </c>
    </row>
    <row r="885" spans="1:6" hidden="1" x14ac:dyDescent="0.2">
      <c r="A885" t="s">
        <v>505</v>
      </c>
      <c r="B885" t="s">
        <v>390</v>
      </c>
      <c r="C885">
        <v>16.142802941994589</v>
      </c>
      <c r="D885">
        <v>157.55375671386719</v>
      </c>
      <c r="E885">
        <v>165.5142822265625</v>
      </c>
      <c r="F885">
        <f>(Table[[#This Row],[price_lag]] - Table[[#This Row],[price]]) / Table[[#This Row],[price]]</f>
        <v>5.052577405153464E-2</v>
      </c>
    </row>
    <row r="886" spans="1:6" hidden="1" x14ac:dyDescent="0.2">
      <c r="A886" t="s">
        <v>505</v>
      </c>
      <c r="B886" t="s">
        <v>391</v>
      </c>
      <c r="C886">
        <v>17.651168093738331</v>
      </c>
      <c r="D886">
        <v>177.21772766113281</v>
      </c>
      <c r="E886">
        <v>188.87474060058591</v>
      </c>
      <c r="F886">
        <f>(Table[[#This Row],[price_lag]] - Table[[#This Row],[price]]) / Table[[#This Row],[price]]</f>
        <v>6.5777916765432598E-2</v>
      </c>
    </row>
    <row r="887" spans="1:6" hidden="1" x14ac:dyDescent="0.2">
      <c r="A887" t="s">
        <v>505</v>
      </c>
      <c r="B887" t="s">
        <v>392</v>
      </c>
      <c r="C887">
        <v>18.837200607384109</v>
      </c>
      <c r="D887">
        <v>272.76266479492188</v>
      </c>
      <c r="E887">
        <v>312.76812744140619</v>
      </c>
      <c r="F887">
        <f>(Table[[#This Row],[price_lag]] - Table[[#This Row],[price]]) / Table[[#This Row],[price]]</f>
        <v>0.14666766317363356</v>
      </c>
    </row>
    <row r="888" spans="1:6" hidden="1" x14ac:dyDescent="0.2">
      <c r="A888" t="s">
        <v>505</v>
      </c>
      <c r="B888" t="s">
        <v>393</v>
      </c>
      <c r="C888">
        <v>17.582709700972941</v>
      </c>
      <c r="D888">
        <v>151.91461181640619</v>
      </c>
      <c r="E888">
        <v>171.52130126953119</v>
      </c>
      <c r="F888">
        <f>(Table[[#This Row],[price_lag]] - Table[[#This Row],[price]]) / Table[[#This Row],[price]]</f>
        <v>0.12906388147060094</v>
      </c>
    </row>
    <row r="889" spans="1:6" hidden="1" x14ac:dyDescent="0.2">
      <c r="A889" t="s">
        <v>505</v>
      </c>
      <c r="B889" t="s">
        <v>394</v>
      </c>
      <c r="C889">
        <v>29.195041041220389</v>
      </c>
      <c r="D889">
        <v>144.8074035644531</v>
      </c>
      <c r="E889">
        <v>166.6712646484375</v>
      </c>
      <c r="F889">
        <f>(Table[[#This Row],[price_lag]] - Table[[#This Row],[price]]) / Table[[#This Row],[price]]</f>
        <v>0.15098579593171768</v>
      </c>
    </row>
    <row r="890" spans="1:6" hidden="1" x14ac:dyDescent="0.2">
      <c r="A890" t="s">
        <v>505</v>
      </c>
      <c r="B890" t="s">
        <v>395</v>
      </c>
      <c r="C890">
        <v>63.361107219349257</v>
      </c>
      <c r="D890">
        <v>55.757774353027337</v>
      </c>
      <c r="E890">
        <v>59.669353485107422</v>
      </c>
      <c r="F890">
        <f>(Table[[#This Row],[price_lag]] - Table[[#This Row],[price]]) / Table[[#This Row],[price]]</f>
        <v>7.0153071521724189E-2</v>
      </c>
    </row>
    <row r="891" spans="1:6" hidden="1" x14ac:dyDescent="0.2">
      <c r="A891" t="s">
        <v>505</v>
      </c>
      <c r="B891" t="s">
        <v>396</v>
      </c>
      <c r="C891">
        <v>30.7687138649835</v>
      </c>
      <c r="D891">
        <v>69.747505187988281</v>
      </c>
      <c r="E891">
        <v>72.087730407714844</v>
      </c>
      <c r="F891">
        <f>(Table[[#This Row],[price_lag]] - Table[[#This Row],[price]]) / Table[[#This Row],[price]]</f>
        <v>3.3552816167675477E-2</v>
      </c>
    </row>
    <row r="892" spans="1:6" hidden="1" x14ac:dyDescent="0.2">
      <c r="A892" t="s">
        <v>505</v>
      </c>
      <c r="B892" t="s">
        <v>397</v>
      </c>
      <c r="C892">
        <v>9.8857176627997543</v>
      </c>
      <c r="D892">
        <v>523.547607421875</v>
      </c>
      <c r="E892">
        <v>561.56591796875</v>
      </c>
      <c r="F892">
        <f>(Table[[#This Row],[price_lag]] - Table[[#This Row],[price]]) / Table[[#This Row],[price]]</f>
        <v>7.2616721016241448E-2</v>
      </c>
    </row>
    <row r="893" spans="1:6" hidden="1" x14ac:dyDescent="0.2">
      <c r="A893" t="s">
        <v>505</v>
      </c>
      <c r="B893" t="s">
        <v>398</v>
      </c>
      <c r="C893">
        <v>9.7669100357314296</v>
      </c>
      <c r="D893">
        <v>23.049907684326168</v>
      </c>
      <c r="E893">
        <v>26.09542083740234</v>
      </c>
      <c r="F893">
        <f>(Table[[#This Row],[price_lag]] - Table[[#This Row],[price]]) / Table[[#This Row],[price]]</f>
        <v>0.13212691325211279</v>
      </c>
    </row>
    <row r="894" spans="1:6" hidden="1" x14ac:dyDescent="0.2">
      <c r="A894" t="s">
        <v>505</v>
      </c>
      <c r="B894" t="s">
        <v>399</v>
      </c>
      <c r="C894">
        <v>34.74791700189764</v>
      </c>
      <c r="D894">
        <v>244.6253356933594</v>
      </c>
      <c r="E894">
        <v>228.174072265625</v>
      </c>
      <c r="F894">
        <f>(Table[[#This Row],[price_lag]] - Table[[#This Row],[price]]) / Table[[#This Row],[price]]</f>
        <v>-6.7250856830121011E-2</v>
      </c>
    </row>
    <row r="895" spans="1:6" hidden="1" x14ac:dyDescent="0.2">
      <c r="A895" t="s">
        <v>505</v>
      </c>
      <c r="B895" t="s">
        <v>400</v>
      </c>
      <c r="C895">
        <v>24.79267194004133</v>
      </c>
      <c r="D895">
        <v>256.85208129882812</v>
      </c>
      <c r="E895">
        <v>273.08047485351562</v>
      </c>
      <c r="F895">
        <f>(Table[[#This Row],[price_lag]] - Table[[#This Row],[price]]) / Table[[#This Row],[price]]</f>
        <v>6.3181865113278876E-2</v>
      </c>
    </row>
    <row r="896" spans="1:6" hidden="1" x14ac:dyDescent="0.2">
      <c r="A896" t="s">
        <v>505</v>
      </c>
      <c r="B896" t="s">
        <v>401</v>
      </c>
      <c r="C896">
        <v>52.03202288876296</v>
      </c>
      <c r="D896">
        <v>96.518569946289062</v>
      </c>
      <c r="E896">
        <v>87.531570434570312</v>
      </c>
      <c r="F896">
        <f>(Table[[#This Row],[price_lag]] - Table[[#This Row],[price]]) / Table[[#This Row],[price]]</f>
        <v>-9.3111610716154022E-2</v>
      </c>
    </row>
    <row r="897" spans="1:6" hidden="1" x14ac:dyDescent="0.2">
      <c r="A897" t="s">
        <v>505</v>
      </c>
      <c r="B897" t="s">
        <v>402</v>
      </c>
      <c r="C897">
        <v>31.413782317127879</v>
      </c>
      <c r="D897">
        <v>329.68789672851562</v>
      </c>
      <c r="E897">
        <v>348.25100708007812</v>
      </c>
      <c r="F897">
        <f>(Table[[#This Row],[price_lag]] - Table[[#This Row],[price]]) / Table[[#This Row],[price]]</f>
        <v>5.6305101084279281E-2</v>
      </c>
    </row>
    <row r="898" spans="1:6" hidden="1" x14ac:dyDescent="0.2">
      <c r="A898" t="s">
        <v>505</v>
      </c>
      <c r="B898" t="s">
        <v>403</v>
      </c>
      <c r="C898">
        <v>48.349636998669858</v>
      </c>
      <c r="D898">
        <v>56.085578918457031</v>
      </c>
      <c r="E898">
        <v>58.556594848632812</v>
      </c>
      <c r="F898">
        <f>(Table[[#This Row],[price_lag]] - Table[[#This Row],[price]]) / Table[[#This Row],[price]]</f>
        <v>4.4057955321605891E-2</v>
      </c>
    </row>
    <row r="899" spans="1:6" hidden="1" x14ac:dyDescent="0.2">
      <c r="A899" t="s">
        <v>505</v>
      </c>
      <c r="B899" t="s">
        <v>404</v>
      </c>
      <c r="C899">
        <v>40.05114815451882</v>
      </c>
      <c r="D899">
        <v>563.920166015625</v>
      </c>
      <c r="E899">
        <v>496.84539794921881</v>
      </c>
      <c r="F899">
        <f>(Table[[#This Row],[price_lag]] - Table[[#This Row],[price]]) / Table[[#This Row],[price]]</f>
        <v>-0.11894373017429509</v>
      </c>
    </row>
    <row r="900" spans="1:6" hidden="1" x14ac:dyDescent="0.2">
      <c r="A900" t="s">
        <v>505</v>
      </c>
      <c r="B900" t="s">
        <v>405</v>
      </c>
      <c r="C900">
        <v>20.214954303328401</v>
      </c>
      <c r="D900">
        <v>126.9499130249023</v>
      </c>
      <c r="E900">
        <v>152.04364013671881</v>
      </c>
      <c r="F900">
        <f>(Table[[#This Row],[price_lag]] - Table[[#This Row],[price]]) / Table[[#This Row],[price]]</f>
        <v>0.19766635922699813</v>
      </c>
    </row>
    <row r="901" spans="1:6" hidden="1" x14ac:dyDescent="0.2">
      <c r="A901" t="s">
        <v>505</v>
      </c>
      <c r="B901" t="s">
        <v>406</v>
      </c>
      <c r="C901">
        <v>17.47871313202247</v>
      </c>
      <c r="D901">
        <v>311.12109375</v>
      </c>
      <c r="E901">
        <v>322.47982788085938</v>
      </c>
      <c r="F901">
        <f>(Table[[#This Row],[price_lag]] - Table[[#This Row],[price]]) / Table[[#This Row],[price]]</f>
        <v>3.6509045381495853E-2</v>
      </c>
    </row>
    <row r="902" spans="1:6" hidden="1" x14ac:dyDescent="0.2">
      <c r="A902" t="s">
        <v>505</v>
      </c>
      <c r="B902" t="s">
        <v>407</v>
      </c>
      <c r="C902">
        <v>37.524257114955347</v>
      </c>
      <c r="D902">
        <v>525.339599609375</v>
      </c>
      <c r="E902">
        <v>485.75494384765619</v>
      </c>
      <c r="F902">
        <f>(Table[[#This Row],[price_lag]] - Table[[#This Row],[price]]) / Table[[#This Row],[price]]</f>
        <v>-7.5350603288144732E-2</v>
      </c>
    </row>
    <row r="903" spans="1:6" hidden="1" x14ac:dyDescent="0.2">
      <c r="A903" t="s">
        <v>505</v>
      </c>
      <c r="B903" t="s">
        <v>408</v>
      </c>
      <c r="C903">
        <v>34.489502882594387</v>
      </c>
      <c r="D903">
        <v>271.77728271484381</v>
      </c>
      <c r="E903">
        <v>236.6180725097656</v>
      </c>
      <c r="F903">
        <f>(Table[[#This Row],[price_lag]] - Table[[#This Row],[price]]) / Table[[#This Row],[price]]</f>
        <v>-0.12936773027482293</v>
      </c>
    </row>
    <row r="904" spans="1:6" hidden="1" x14ac:dyDescent="0.2">
      <c r="A904" t="s">
        <v>505</v>
      </c>
      <c r="B904" t="s">
        <v>409</v>
      </c>
      <c r="C904">
        <v>27.66527993338449</v>
      </c>
      <c r="D904">
        <v>232.38835144042969</v>
      </c>
      <c r="E904">
        <v>192.28558349609381</v>
      </c>
      <c r="F904">
        <f>(Table[[#This Row],[price_lag]] - Table[[#This Row],[price]]) / Table[[#This Row],[price]]</f>
        <v>-0.17256789204692904</v>
      </c>
    </row>
    <row r="905" spans="1:6" hidden="1" x14ac:dyDescent="0.2">
      <c r="A905" t="s">
        <v>505</v>
      </c>
      <c r="B905" t="s">
        <v>410</v>
      </c>
      <c r="C905">
        <v>11.089612325032549</v>
      </c>
      <c r="D905">
        <v>33.268836975097663</v>
      </c>
      <c r="E905">
        <v>34.100597381591797</v>
      </c>
      <c r="F905">
        <f>(Table[[#This Row],[price_lag]] - Table[[#This Row],[price]]) / Table[[#This Row],[price]]</f>
        <v>2.5001186759751218E-2</v>
      </c>
    </row>
    <row r="906" spans="1:6" hidden="1" x14ac:dyDescent="0.2">
      <c r="A906" t="s">
        <v>505</v>
      </c>
      <c r="B906" t="s">
        <v>411</v>
      </c>
      <c r="C906">
        <v>15.597827745520551</v>
      </c>
      <c r="D906">
        <v>143.50001525878909</v>
      </c>
      <c r="E906">
        <v>235.4422912597656</v>
      </c>
      <c r="F906">
        <f>(Table[[#This Row],[price_lag]] - Table[[#This Row],[price]]) / Table[[#This Row],[price]]</f>
        <v>0.64071265661656596</v>
      </c>
    </row>
    <row r="907" spans="1:6" hidden="1" x14ac:dyDescent="0.2">
      <c r="A907" t="s">
        <v>505</v>
      </c>
      <c r="B907" t="s">
        <v>412</v>
      </c>
      <c r="C907">
        <v>26.29651620354451</v>
      </c>
      <c r="D907">
        <v>74.682106018066406</v>
      </c>
      <c r="E907">
        <v>88.688087463378906</v>
      </c>
      <c r="F907">
        <f>(Table[[#This Row],[price_lag]] - Table[[#This Row],[price]]) / Table[[#This Row],[price]]</f>
        <v>0.18754132940391774</v>
      </c>
    </row>
    <row r="908" spans="1:6" hidden="1" x14ac:dyDescent="0.2">
      <c r="A908" t="s">
        <v>505</v>
      </c>
      <c r="B908" t="s">
        <v>413</v>
      </c>
      <c r="C908">
        <v>138.18279389412169</v>
      </c>
      <c r="D908">
        <v>205.6159973144531</v>
      </c>
      <c r="E908">
        <v>184.0559997558594</v>
      </c>
      <c r="F908">
        <f>(Table[[#This Row],[price_lag]] - Table[[#This Row],[price]]) / Table[[#This Row],[price]]</f>
        <v>-0.10485564275245331</v>
      </c>
    </row>
    <row r="909" spans="1:6" hidden="1" x14ac:dyDescent="0.2">
      <c r="A909" t="s">
        <v>505</v>
      </c>
      <c r="B909" t="s">
        <v>414</v>
      </c>
      <c r="C909">
        <v>28.110130209671819</v>
      </c>
      <c r="D909">
        <v>341.81918334960938</v>
      </c>
      <c r="E909">
        <v>345.45269775390619</v>
      </c>
      <c r="F909">
        <f>(Table[[#This Row],[price_lag]] - Table[[#This Row],[price]]) / Table[[#This Row],[price]]</f>
        <v>1.0629931207168366E-2</v>
      </c>
    </row>
    <row r="910" spans="1:6" hidden="1" x14ac:dyDescent="0.2">
      <c r="A910" t="s">
        <v>505</v>
      </c>
      <c r="B910" t="s">
        <v>415</v>
      </c>
      <c r="C910">
        <v>23.078851138844211</v>
      </c>
      <c r="D910">
        <v>156.9361877441406</v>
      </c>
      <c r="E910">
        <v>185.3895568847656</v>
      </c>
      <c r="F910">
        <f>(Table[[#This Row],[price_lag]] - Table[[#This Row],[price]]) / Table[[#This Row],[price]]</f>
        <v>0.18130534167819648</v>
      </c>
    </row>
    <row r="911" spans="1:6" hidden="1" x14ac:dyDescent="0.2">
      <c r="A911" t="s">
        <v>505</v>
      </c>
      <c r="B911" t="s">
        <v>416</v>
      </c>
      <c r="C911">
        <v>26.071698325020929</v>
      </c>
      <c r="D911">
        <v>73.000755310058594</v>
      </c>
      <c r="E911">
        <v>76.114646911621094</v>
      </c>
      <c r="F911">
        <f>(Table[[#This Row],[price_lag]] - Table[[#This Row],[price]]) / Table[[#This Row],[price]]</f>
        <v>4.2655607991133271E-2</v>
      </c>
    </row>
    <row r="912" spans="1:6" hidden="1" x14ac:dyDescent="0.2">
      <c r="A912" t="s">
        <v>505</v>
      </c>
      <c r="B912" t="s">
        <v>417</v>
      </c>
      <c r="C912">
        <v>0</v>
      </c>
      <c r="D912">
        <v>96.261024475097656</v>
      </c>
      <c r="E912">
        <v>107.51695251464839</v>
      </c>
      <c r="F912">
        <f>(Table[[#This Row],[price_lag]] - Table[[#This Row],[price]]) / Table[[#This Row],[price]]</f>
        <v>0.11693131359164582</v>
      </c>
    </row>
    <row r="913" spans="1:6" hidden="1" x14ac:dyDescent="0.2">
      <c r="A913" t="s">
        <v>505</v>
      </c>
      <c r="B913" t="s">
        <v>418</v>
      </c>
      <c r="C913">
        <v>0</v>
      </c>
      <c r="D913">
        <v>42.724620819091797</v>
      </c>
      <c r="E913">
        <v>42.569999694824219</v>
      </c>
      <c r="F913">
        <f>(Table[[#This Row],[price_lag]] - Table[[#This Row],[price]]) / Table[[#This Row],[price]]</f>
        <v>-3.6190168877633338E-3</v>
      </c>
    </row>
    <row r="914" spans="1:6" hidden="1" x14ac:dyDescent="0.2">
      <c r="A914" t="s">
        <v>505</v>
      </c>
      <c r="B914" t="s">
        <v>419</v>
      </c>
      <c r="C914">
        <v>15.98137378692627</v>
      </c>
      <c r="D914">
        <v>306.84237670898438</v>
      </c>
      <c r="E914">
        <v>343.97720336914062</v>
      </c>
      <c r="F914">
        <f>(Table[[#This Row],[price_lag]] - Table[[#This Row],[price]]) / Table[[#This Row],[price]]</f>
        <v>0.12102248411201587</v>
      </c>
    </row>
    <row r="915" spans="1:6" hidden="1" x14ac:dyDescent="0.2">
      <c r="A915" t="s">
        <v>505</v>
      </c>
      <c r="B915" t="s">
        <v>420</v>
      </c>
      <c r="C915">
        <v>36.461536700908951</v>
      </c>
      <c r="D915">
        <v>75.839996337890625</v>
      </c>
      <c r="E915">
        <v>73</v>
      </c>
      <c r="F915">
        <f>(Table[[#This Row],[price_lag]] - Table[[#This Row],[price]]) / Table[[#This Row],[price]]</f>
        <v>-3.7447210904884058E-2</v>
      </c>
    </row>
    <row r="916" spans="1:6" hidden="1" x14ac:dyDescent="0.2">
      <c r="A916" t="s">
        <v>505</v>
      </c>
      <c r="B916" t="s">
        <v>421</v>
      </c>
      <c r="C916">
        <v>28.238818645477291</v>
      </c>
      <c r="D916">
        <v>90.364219665527344</v>
      </c>
      <c r="E916">
        <v>93.9967041015625</v>
      </c>
      <c r="F916">
        <f>(Table[[#This Row],[price_lag]] - Table[[#This Row],[price]]) / Table[[#This Row],[price]]</f>
        <v>4.0198260434056478E-2</v>
      </c>
    </row>
    <row r="917" spans="1:6" hidden="1" x14ac:dyDescent="0.2">
      <c r="A917" t="s">
        <v>505</v>
      </c>
      <c r="B917" t="s">
        <v>422</v>
      </c>
      <c r="C917">
        <v>20.074343681335449</v>
      </c>
      <c r="D917">
        <v>32.118949890136719</v>
      </c>
      <c r="E917">
        <v>31.771528244018551</v>
      </c>
      <c r="F917">
        <f>(Table[[#This Row],[price_lag]] - Table[[#This Row],[price]]) / Table[[#This Row],[price]]</f>
        <v>-1.0816718706761206E-2</v>
      </c>
    </row>
    <row r="918" spans="1:6" hidden="1" x14ac:dyDescent="0.2">
      <c r="A918" t="s">
        <v>505</v>
      </c>
      <c r="B918" t="s">
        <v>423</v>
      </c>
      <c r="C918">
        <v>24.707315928900421</v>
      </c>
      <c r="D918">
        <v>66.215606689453125</v>
      </c>
      <c r="E918">
        <v>73.467391967773438</v>
      </c>
      <c r="F918">
        <f>(Table[[#This Row],[price_lag]] - Table[[#This Row],[price]]) / Table[[#This Row],[price]]</f>
        <v>0.10951776538619834</v>
      </c>
    </row>
    <row r="919" spans="1:6" hidden="1" x14ac:dyDescent="0.2">
      <c r="A919" t="s">
        <v>505</v>
      </c>
      <c r="B919" t="s">
        <v>424</v>
      </c>
      <c r="C919">
        <v>45.993572242445687</v>
      </c>
      <c r="D919">
        <v>90.376449584960938</v>
      </c>
      <c r="E919">
        <v>83.993194580078125</v>
      </c>
      <c r="F919">
        <f>(Table[[#This Row],[price_lag]] - Table[[#This Row],[price]]) / Table[[#This Row],[price]]</f>
        <v>-7.0629627897498382E-2</v>
      </c>
    </row>
    <row r="920" spans="1:6" hidden="1" x14ac:dyDescent="0.2">
      <c r="A920" t="s">
        <v>505</v>
      </c>
      <c r="B920" t="s">
        <v>425</v>
      </c>
      <c r="C920">
        <v>11.833300157026811</v>
      </c>
      <c r="D920">
        <v>104.13304138183589</v>
      </c>
      <c r="E920">
        <v>114.4201126098633</v>
      </c>
      <c r="F920">
        <f>(Table[[#This Row],[price_lag]] - Table[[#This Row],[price]]) / Table[[#This Row],[price]]</f>
        <v>9.8787772752230316E-2</v>
      </c>
    </row>
    <row r="921" spans="1:6" hidden="1" x14ac:dyDescent="0.2">
      <c r="A921" t="s">
        <v>505</v>
      </c>
      <c r="B921" t="s">
        <v>426</v>
      </c>
      <c r="C921">
        <v>15.81794017582984</v>
      </c>
      <c r="D921">
        <v>127.1762390136719</v>
      </c>
      <c r="E921">
        <v>139.0223693847656</v>
      </c>
      <c r="F921">
        <f>(Table[[#This Row],[price_lag]] - Table[[#This Row],[price]]) / Table[[#This Row],[price]]</f>
        <v>9.3147355692915185E-2</v>
      </c>
    </row>
    <row r="922" spans="1:6" hidden="1" x14ac:dyDescent="0.2">
      <c r="A922" t="s">
        <v>505</v>
      </c>
      <c r="B922" t="s">
        <v>427</v>
      </c>
      <c r="C922">
        <v>33.46310407755761</v>
      </c>
      <c r="D922">
        <v>239.5958251953125</v>
      </c>
      <c r="E922">
        <v>247.44000244140619</v>
      </c>
      <c r="F922">
        <f>(Table[[#This Row],[price_lag]] - Table[[#This Row],[price]]) / Table[[#This Row],[price]]</f>
        <v>3.2739206702367692E-2</v>
      </c>
    </row>
    <row r="923" spans="1:6" hidden="1" x14ac:dyDescent="0.2">
      <c r="A923" t="s">
        <v>505</v>
      </c>
      <c r="B923" t="s">
        <v>428</v>
      </c>
      <c r="C923">
        <v>42.430022667194237</v>
      </c>
      <c r="D923">
        <v>393.7506103515625</v>
      </c>
      <c r="E923">
        <v>368.75137329101562</v>
      </c>
      <c r="F923">
        <f>(Table[[#This Row],[price_lag]] - Table[[#This Row],[price]]) / Table[[#This Row],[price]]</f>
        <v>-6.3490027452214395E-2</v>
      </c>
    </row>
    <row r="924" spans="1:6" hidden="1" x14ac:dyDescent="0.2">
      <c r="A924" t="s">
        <v>505</v>
      </c>
      <c r="B924" t="s">
        <v>429</v>
      </c>
      <c r="C924">
        <v>37.128786607222118</v>
      </c>
      <c r="D924">
        <v>49.009998321533203</v>
      </c>
      <c r="E924">
        <v>47.939998626708977</v>
      </c>
      <c r="F924">
        <f>(Table[[#This Row],[price_lag]] - Table[[#This Row],[price]]) / Table[[#This Row],[price]]</f>
        <v>-2.1832273647601964E-2</v>
      </c>
    </row>
    <row r="925" spans="1:6" hidden="1" x14ac:dyDescent="0.2">
      <c r="A925" t="s">
        <v>505</v>
      </c>
      <c r="B925" t="s">
        <v>430</v>
      </c>
      <c r="C925">
        <v>6.5915248308523724</v>
      </c>
      <c r="D925">
        <v>66.178909301757812</v>
      </c>
      <c r="E925">
        <v>70.75921630859375</v>
      </c>
      <c r="F925">
        <f>(Table[[#This Row],[price_lag]] - Table[[#This Row],[price]]) / Table[[#This Row],[price]]</f>
        <v>6.9210977563123388E-2</v>
      </c>
    </row>
    <row r="926" spans="1:6" hidden="1" x14ac:dyDescent="0.2">
      <c r="A926" t="s">
        <v>505</v>
      </c>
      <c r="B926" t="s">
        <v>431</v>
      </c>
      <c r="C926">
        <v>84.880793489367761</v>
      </c>
      <c r="D926">
        <v>512.67999267578125</v>
      </c>
      <c r="E926">
        <v>493.3900146484375</v>
      </c>
      <c r="F926">
        <f>(Table[[#This Row],[price_lag]] - Table[[#This Row],[price]]) / Table[[#This Row],[price]]</f>
        <v>-3.7625767150899388E-2</v>
      </c>
    </row>
    <row r="927" spans="1:6" hidden="1" x14ac:dyDescent="0.2">
      <c r="A927" t="s">
        <v>505</v>
      </c>
      <c r="B927" t="s">
        <v>432</v>
      </c>
      <c r="C927">
        <v>16.85866962779652</v>
      </c>
      <c r="D927">
        <v>74.178146362304688</v>
      </c>
      <c r="E927">
        <v>81.206558227539062</v>
      </c>
      <c r="F927">
        <f>(Table[[#This Row],[price_lag]] - Table[[#This Row],[price]]) / Table[[#This Row],[price]]</f>
        <v>9.4750438099461903E-2</v>
      </c>
    </row>
    <row r="928" spans="1:6" hidden="1" x14ac:dyDescent="0.2">
      <c r="A928" t="s">
        <v>505</v>
      </c>
      <c r="B928" t="s">
        <v>433</v>
      </c>
      <c r="C928">
        <v>20.796895362961461</v>
      </c>
      <c r="D928">
        <v>236.25273132324219</v>
      </c>
      <c r="E928">
        <v>238.19989013671881</v>
      </c>
      <c r="F928">
        <f>(Table[[#This Row],[price_lag]] - Table[[#This Row],[price]]) / Table[[#This Row],[price]]</f>
        <v>8.2418467823447365E-3</v>
      </c>
    </row>
    <row r="929" spans="1:6" hidden="1" x14ac:dyDescent="0.2">
      <c r="A929" t="s">
        <v>505</v>
      </c>
      <c r="B929" t="s">
        <v>434</v>
      </c>
      <c r="C929">
        <v>10.511776379176551</v>
      </c>
      <c r="D929">
        <v>94.185516357421875</v>
      </c>
      <c r="E929">
        <v>101.39736175537109</v>
      </c>
      <c r="F929">
        <f>(Table[[#This Row],[price_lag]] - Table[[#This Row],[price]]) / Table[[#This Row],[price]]</f>
        <v>7.6570641398632844E-2</v>
      </c>
    </row>
    <row r="930" spans="1:6" hidden="1" x14ac:dyDescent="0.2">
      <c r="A930" t="s">
        <v>505</v>
      </c>
      <c r="B930" t="s">
        <v>435</v>
      </c>
      <c r="C930">
        <v>0</v>
      </c>
      <c r="D930">
        <v>242.8500061035156</v>
      </c>
      <c r="E930">
        <v>258.3599853515625</v>
      </c>
      <c r="F930">
        <f>(Table[[#This Row],[price_lag]] - Table[[#This Row],[price]]) / Table[[#This Row],[price]]</f>
        <v>6.3866497254423477E-2</v>
      </c>
    </row>
    <row r="931" spans="1:6" hidden="1" x14ac:dyDescent="0.2">
      <c r="A931" t="s">
        <v>505</v>
      </c>
      <c r="B931" t="s">
        <v>436</v>
      </c>
      <c r="C931">
        <v>0</v>
      </c>
      <c r="D931">
        <v>87.173965454101562</v>
      </c>
      <c r="E931">
        <v>112.82640075683589</v>
      </c>
      <c r="F931">
        <f>(Table[[#This Row],[price_lag]] - Table[[#This Row],[price]]) / Table[[#This Row],[price]]</f>
        <v>0.294267160718308</v>
      </c>
    </row>
    <row r="932" spans="1:6" hidden="1" x14ac:dyDescent="0.2">
      <c r="A932" t="s">
        <v>505</v>
      </c>
      <c r="B932" t="s">
        <v>437</v>
      </c>
      <c r="C932">
        <v>14.72167119857575</v>
      </c>
      <c r="D932">
        <v>171.89788818359381</v>
      </c>
      <c r="E932">
        <v>166.43426513671881</v>
      </c>
      <c r="F932">
        <f>(Table[[#This Row],[price_lag]] - Table[[#This Row],[price]]) / Table[[#This Row],[price]]</f>
        <v>-3.1784119657360957E-2</v>
      </c>
    </row>
    <row r="933" spans="1:6" hidden="1" x14ac:dyDescent="0.2">
      <c r="A933" t="s">
        <v>505</v>
      </c>
      <c r="B933" t="s">
        <v>438</v>
      </c>
      <c r="C933">
        <v>11.696215509210971</v>
      </c>
      <c r="D933">
        <v>96.376815795898438</v>
      </c>
      <c r="E933">
        <v>88.583396911621094</v>
      </c>
      <c r="F933">
        <f>(Table[[#This Row],[price_lag]] - Table[[#This Row],[price]]) / Table[[#This Row],[price]]</f>
        <v>-8.0864042040793518E-2</v>
      </c>
    </row>
    <row r="934" spans="1:6" hidden="1" x14ac:dyDescent="0.2">
      <c r="A934" t="s">
        <v>505</v>
      </c>
      <c r="B934" t="s">
        <v>439</v>
      </c>
      <c r="C934">
        <v>19.452790860776549</v>
      </c>
      <c r="D934">
        <v>168.0721130371094</v>
      </c>
      <c r="E934">
        <v>219.5299987792969</v>
      </c>
      <c r="F934">
        <f>(Table[[#This Row],[price_lag]] - Table[[#This Row],[price]]) / Table[[#This Row],[price]]</f>
        <v>0.3061655191472834</v>
      </c>
    </row>
    <row r="935" spans="1:6" hidden="1" x14ac:dyDescent="0.2">
      <c r="A935" t="s">
        <v>505</v>
      </c>
      <c r="B935" t="s">
        <v>440</v>
      </c>
      <c r="C935">
        <v>28.608178549444201</v>
      </c>
      <c r="D935">
        <v>512.30999755859375</v>
      </c>
      <c r="E935">
        <v>586.03997802734375</v>
      </c>
      <c r="F935">
        <f>(Table[[#This Row],[price_lag]] - Table[[#This Row],[price]]) / Table[[#This Row],[price]]</f>
        <v>0.14391673170562591</v>
      </c>
    </row>
    <row r="936" spans="1:6" hidden="1" x14ac:dyDescent="0.2">
      <c r="A936" t="s">
        <v>505</v>
      </c>
      <c r="B936" t="s">
        <v>441</v>
      </c>
      <c r="C936">
        <v>45.796830313546323</v>
      </c>
      <c r="D936">
        <v>89.761787414550781</v>
      </c>
      <c r="E936">
        <v>137.53605651855469</v>
      </c>
      <c r="F936">
        <f>(Table[[#This Row],[price_lag]] - Table[[#This Row],[price]]) / Table[[#This Row],[price]]</f>
        <v>0.53223393250143192</v>
      </c>
    </row>
    <row r="937" spans="1:6" hidden="1" x14ac:dyDescent="0.2">
      <c r="A937" t="s">
        <v>505</v>
      </c>
      <c r="B937" t="s">
        <v>442</v>
      </c>
      <c r="C937">
        <v>220.5972247653537</v>
      </c>
      <c r="D937">
        <v>317.66000366210938</v>
      </c>
      <c r="E937">
        <v>444.72000122070312</v>
      </c>
      <c r="F937">
        <f>(Table[[#This Row],[price_lag]] - Table[[#This Row],[price]]) / Table[[#This Row],[price]]</f>
        <v>0.39998739562361063</v>
      </c>
    </row>
    <row r="938" spans="1:6" hidden="1" x14ac:dyDescent="0.2">
      <c r="A938" t="s">
        <v>505</v>
      </c>
      <c r="B938" t="s">
        <v>443</v>
      </c>
      <c r="C938">
        <v>35.812811585364727</v>
      </c>
      <c r="D938">
        <v>204.30650329589841</v>
      </c>
      <c r="E938">
        <v>182.10456848144531</v>
      </c>
      <c r="F938">
        <f>(Table[[#This Row],[price_lag]] - Table[[#This Row],[price]]) / Table[[#This Row],[price]]</f>
        <v>-0.10866974108160372</v>
      </c>
    </row>
    <row r="939" spans="1:6" hidden="1" x14ac:dyDescent="0.2">
      <c r="A939" t="s">
        <v>505</v>
      </c>
      <c r="B939" t="s">
        <v>444</v>
      </c>
      <c r="C939">
        <v>52.110263076927872</v>
      </c>
      <c r="D939">
        <v>350.87570190429688</v>
      </c>
      <c r="E939">
        <v>310.63720703125</v>
      </c>
      <c r="F939">
        <f>(Table[[#This Row],[price_lag]] - Table[[#This Row],[price]]) / Table[[#This Row],[price]]</f>
        <v>-0.11468019773002729</v>
      </c>
    </row>
    <row r="940" spans="1:6" hidden="1" x14ac:dyDescent="0.2">
      <c r="A940" t="s">
        <v>505</v>
      </c>
      <c r="B940" t="s">
        <v>445</v>
      </c>
      <c r="C940">
        <v>14.75220427793615</v>
      </c>
      <c r="D940">
        <v>80.251991271972656</v>
      </c>
      <c r="E940">
        <v>84.470542907714844</v>
      </c>
      <c r="F940">
        <f>(Table[[#This Row],[price_lag]] - Table[[#This Row],[price]]) / Table[[#This Row],[price]]</f>
        <v>5.2566317282341152E-2</v>
      </c>
    </row>
    <row r="941" spans="1:6" hidden="1" x14ac:dyDescent="0.2">
      <c r="A941" t="s">
        <v>505</v>
      </c>
      <c r="B941" t="s">
        <v>446</v>
      </c>
      <c r="C941">
        <v>23.644390284458051</v>
      </c>
      <c r="D941">
        <v>404.79196166992188</v>
      </c>
      <c r="E941">
        <v>484.65554809570312</v>
      </c>
      <c r="F941">
        <f>(Table[[#This Row],[price_lag]] - Table[[#This Row],[price]]) / Table[[#This Row],[price]]</f>
        <v>0.19729538624312937</v>
      </c>
    </row>
    <row r="942" spans="1:6" hidden="1" x14ac:dyDescent="0.2">
      <c r="A942" t="s">
        <v>505</v>
      </c>
      <c r="B942" t="s">
        <v>447</v>
      </c>
      <c r="C942">
        <v>27.541308783596229</v>
      </c>
      <c r="D942">
        <v>122.7442321777344</v>
      </c>
      <c r="E942">
        <v>144.12388610839841</v>
      </c>
      <c r="F942">
        <f>(Table[[#This Row],[price_lag]] - Table[[#This Row],[price]]) / Table[[#This Row],[price]]</f>
        <v>0.17418051790577121</v>
      </c>
    </row>
    <row r="943" spans="1:6" hidden="1" x14ac:dyDescent="0.2">
      <c r="A943" t="s">
        <v>505</v>
      </c>
      <c r="B943" t="s">
        <v>448</v>
      </c>
      <c r="C943">
        <v>37.622610727945968</v>
      </c>
      <c r="D943">
        <v>180.5885314941406</v>
      </c>
      <c r="E943">
        <v>201.20417785644531</v>
      </c>
      <c r="F943">
        <f>(Table[[#This Row],[price_lag]] - Table[[#This Row],[price]]) / Table[[#This Row],[price]]</f>
        <v>0.11415811509034622</v>
      </c>
    </row>
    <row r="944" spans="1:6" hidden="1" x14ac:dyDescent="0.2">
      <c r="A944" t="s">
        <v>505</v>
      </c>
      <c r="B944" t="s">
        <v>449</v>
      </c>
      <c r="C944">
        <v>99.986108144124358</v>
      </c>
      <c r="D944">
        <v>71.989997863769531</v>
      </c>
      <c r="E944">
        <v>49.009998321533203</v>
      </c>
      <c r="F944">
        <f>(Table[[#This Row],[price_lag]] - Table[[#This Row],[price]]) / Table[[#This Row],[price]]</f>
        <v>-0.3192110046415419</v>
      </c>
    </row>
    <row r="945" spans="1:6" hidden="1" x14ac:dyDescent="0.2">
      <c r="A945" t="s">
        <v>505</v>
      </c>
      <c r="B945" t="s">
        <v>450</v>
      </c>
      <c r="C945">
        <v>16.15571269282588</v>
      </c>
      <c r="D945">
        <v>52.344509124755859</v>
      </c>
      <c r="E945">
        <v>56.622829437255859</v>
      </c>
      <c r="F945">
        <f>(Table[[#This Row],[price_lag]] - Table[[#This Row],[price]]) / Table[[#This Row],[price]]</f>
        <v>8.1733889266268955E-2</v>
      </c>
    </row>
    <row r="946" spans="1:6" hidden="1" x14ac:dyDescent="0.2">
      <c r="A946" t="s">
        <v>505</v>
      </c>
      <c r="B946" t="s">
        <v>451</v>
      </c>
      <c r="C946">
        <v>27.774801784876239</v>
      </c>
      <c r="D946">
        <v>436.414794921875</v>
      </c>
      <c r="E946">
        <v>421.95999145507812</v>
      </c>
      <c r="F946">
        <f>(Table[[#This Row],[price_lag]] - Table[[#This Row],[price]]) / Table[[#This Row],[price]]</f>
        <v>-3.3121708143245943E-2</v>
      </c>
    </row>
    <row r="947" spans="1:6" hidden="1" x14ac:dyDescent="0.2">
      <c r="A947" t="s">
        <v>505</v>
      </c>
      <c r="B947" t="s">
        <v>452</v>
      </c>
      <c r="C947">
        <v>41.995462645043162</v>
      </c>
      <c r="D947">
        <v>1422.806274414062</v>
      </c>
      <c r="E947">
        <v>1318.02001953125</v>
      </c>
      <c r="F947">
        <f>(Table[[#This Row],[price_lag]] - Table[[#This Row],[price]]) / Table[[#This Row],[price]]</f>
        <v>-7.3647591219658456E-2</v>
      </c>
    </row>
    <row r="948" spans="1:6" hidden="1" x14ac:dyDescent="0.2">
      <c r="A948" t="s">
        <v>505</v>
      </c>
      <c r="B948" t="s">
        <v>453</v>
      </c>
      <c r="C948">
        <v>10.008076341263671</v>
      </c>
      <c r="D948">
        <v>265.4141845703125</v>
      </c>
      <c r="E948">
        <v>278.1197509765625</v>
      </c>
      <c r="F948">
        <f>(Table[[#This Row],[price_lag]] - Table[[#This Row],[price]]) / Table[[#This Row],[price]]</f>
        <v>4.7870713567247536E-2</v>
      </c>
    </row>
    <row r="949" spans="1:6" hidden="1" x14ac:dyDescent="0.2">
      <c r="A949" t="s">
        <v>505</v>
      </c>
      <c r="B949" t="s">
        <v>454</v>
      </c>
      <c r="C949">
        <v>51.337840106036211</v>
      </c>
      <c r="D949">
        <v>75.980003356933594</v>
      </c>
      <c r="E949">
        <v>81.650001525878906</v>
      </c>
      <c r="F949">
        <f>(Table[[#This Row],[price_lag]] - Table[[#This Row],[price]]) / Table[[#This Row],[price]]</f>
        <v>7.4624873893584714E-2</v>
      </c>
    </row>
    <row r="950" spans="1:6" hidden="1" x14ac:dyDescent="0.2">
      <c r="A950" t="s">
        <v>505</v>
      </c>
      <c r="B950" t="s">
        <v>455</v>
      </c>
      <c r="C950">
        <v>11.533278161352809</v>
      </c>
      <c r="D950">
        <v>41.981132507324219</v>
      </c>
      <c r="E950">
        <v>45.195526123046882</v>
      </c>
      <c r="F950">
        <f>(Table[[#This Row],[price_lag]] - Table[[#This Row],[price]]) / Table[[#This Row],[price]]</f>
        <v>7.6567577474520629E-2</v>
      </c>
    </row>
    <row r="951" spans="1:6" hidden="1" x14ac:dyDescent="0.2">
      <c r="A951" t="s">
        <v>505</v>
      </c>
      <c r="B951" t="s">
        <v>456</v>
      </c>
      <c r="C951">
        <v>75.617350364217955</v>
      </c>
      <c r="D951">
        <v>592.84002685546875</v>
      </c>
      <c r="E951">
        <v>523.15997314453125</v>
      </c>
      <c r="F951">
        <f>(Table[[#This Row],[price_lag]] - Table[[#This Row],[price]]) / Table[[#This Row],[price]]</f>
        <v>-0.11753601402478367</v>
      </c>
    </row>
    <row r="952" spans="1:6" hidden="1" x14ac:dyDescent="0.2">
      <c r="A952" t="s">
        <v>505</v>
      </c>
      <c r="B952" t="s">
        <v>457</v>
      </c>
      <c r="C952">
        <v>76.325718561808273</v>
      </c>
      <c r="D952">
        <v>54.954517364501953</v>
      </c>
      <c r="E952">
        <v>53.822944641113281</v>
      </c>
      <c r="F952">
        <f>(Table[[#This Row],[price_lag]] - Table[[#This Row],[price]]) / Table[[#This Row],[price]]</f>
        <v>-2.0591077451980588E-2</v>
      </c>
    </row>
    <row r="953" spans="1:6" hidden="1" x14ac:dyDescent="0.2">
      <c r="A953" t="s">
        <v>505</v>
      </c>
      <c r="B953" t="s">
        <v>458</v>
      </c>
      <c r="C953">
        <v>9.9867210731850005</v>
      </c>
      <c r="D953">
        <v>44.341041564941413</v>
      </c>
      <c r="E953">
        <v>47.867259979248047</v>
      </c>
      <c r="F953">
        <f>(Table[[#This Row],[price_lag]] - Table[[#This Row],[price]]) / Table[[#This Row],[price]]</f>
        <v>7.9524934233720507E-2</v>
      </c>
    </row>
    <row r="954" spans="1:6" hidden="1" x14ac:dyDescent="0.2">
      <c r="A954" t="s">
        <v>505</v>
      </c>
      <c r="B954" t="s">
        <v>459</v>
      </c>
      <c r="C954">
        <v>35.884616558368393</v>
      </c>
      <c r="D954">
        <v>93.300003051757812</v>
      </c>
      <c r="E954">
        <v>97.970001220703125</v>
      </c>
      <c r="F954">
        <f>(Table[[#This Row],[price_lag]] - Table[[#This Row],[price]]) / Table[[#This Row],[price]]</f>
        <v>5.0053569305401301E-2</v>
      </c>
    </row>
    <row r="955" spans="1:6" hidden="1" x14ac:dyDescent="0.2">
      <c r="A955" t="s">
        <v>505</v>
      </c>
      <c r="B955" t="s">
        <v>460</v>
      </c>
      <c r="C955">
        <v>89.666886763139203</v>
      </c>
      <c r="D955">
        <v>39.45343017578125</v>
      </c>
      <c r="E955">
        <v>36.388042449951172</v>
      </c>
      <c r="F955">
        <f>(Table[[#This Row],[price_lag]] - Table[[#This Row],[price]]) / Table[[#This Row],[price]]</f>
        <v>-7.7696355226212668E-2</v>
      </c>
    </row>
    <row r="956" spans="1:6" hidden="1" x14ac:dyDescent="0.2">
      <c r="A956" t="s">
        <v>505</v>
      </c>
      <c r="B956" t="s">
        <v>461</v>
      </c>
      <c r="C956">
        <v>20.164655488112881</v>
      </c>
      <c r="D956">
        <v>467.82000732421881</v>
      </c>
      <c r="E956">
        <v>546.75</v>
      </c>
      <c r="F956">
        <f>(Table[[#This Row],[price_lag]] - Table[[#This Row],[price]]) / Table[[#This Row],[price]]</f>
        <v>0.16871871967861224</v>
      </c>
    </row>
    <row r="957" spans="1:6" hidden="1" x14ac:dyDescent="0.2">
      <c r="A957" t="s">
        <v>505</v>
      </c>
      <c r="B957" t="s">
        <v>462</v>
      </c>
      <c r="C957">
        <v>17.984355250491369</v>
      </c>
      <c r="D957">
        <v>227.32225036621091</v>
      </c>
      <c r="E957">
        <v>234.99534606933591</v>
      </c>
      <c r="F957">
        <f>(Table[[#This Row],[price_lag]] - Table[[#This Row],[price]]) / Table[[#This Row],[price]]</f>
        <v>3.3754265984802717E-2</v>
      </c>
    </row>
    <row r="958" spans="1:6" hidden="1" x14ac:dyDescent="0.2">
      <c r="A958" t="s">
        <v>505</v>
      </c>
      <c r="B958" t="s">
        <v>463</v>
      </c>
      <c r="C958">
        <v>6.6249571331578956</v>
      </c>
      <c r="D958">
        <v>79.629997253417969</v>
      </c>
      <c r="E958">
        <v>96.5</v>
      </c>
      <c r="F958">
        <f>(Table[[#This Row],[price_lag]] - Table[[#This Row],[price]]) / Table[[#This Row],[price]]</f>
        <v>0.21185487038124842</v>
      </c>
    </row>
    <row r="959" spans="1:6" hidden="1" x14ac:dyDescent="0.2">
      <c r="A959" t="s">
        <v>505</v>
      </c>
      <c r="B959" t="s">
        <v>464</v>
      </c>
      <c r="C959">
        <v>16.12189968690177</v>
      </c>
      <c r="D959">
        <v>97.376274108886719</v>
      </c>
      <c r="E959">
        <v>82.102729797363281</v>
      </c>
      <c r="F959">
        <f>(Table[[#This Row],[price_lag]] - Table[[#This Row],[price]]) / Table[[#This Row],[price]]</f>
        <v>-0.15685077757693286</v>
      </c>
    </row>
    <row r="960" spans="1:6" hidden="1" x14ac:dyDescent="0.2">
      <c r="A960" t="s">
        <v>505</v>
      </c>
      <c r="B960" t="s">
        <v>465</v>
      </c>
      <c r="C960">
        <v>19.573170384393279</v>
      </c>
      <c r="D960">
        <v>750.3551025390625</v>
      </c>
      <c r="E960">
        <v>952.66131591796875</v>
      </c>
      <c r="F960">
        <f>(Table[[#This Row],[price_lag]] - Table[[#This Row],[price]]) / Table[[#This Row],[price]]</f>
        <v>0.26961396370110569</v>
      </c>
    </row>
    <row r="961" spans="1:6" hidden="1" x14ac:dyDescent="0.2">
      <c r="A961" t="s">
        <v>505</v>
      </c>
      <c r="B961" t="s">
        <v>466</v>
      </c>
      <c r="C961">
        <v>20.455742622653229</v>
      </c>
      <c r="D961">
        <v>307.94369506835938</v>
      </c>
      <c r="E961">
        <v>342.99386596679688</v>
      </c>
      <c r="F961">
        <f>(Table[[#This Row],[price_lag]] - Table[[#This Row],[price]]) / Table[[#This Row],[price]]</f>
        <v>0.1138200634069057</v>
      </c>
    </row>
    <row r="962" spans="1:6" hidden="1" x14ac:dyDescent="0.2">
      <c r="A962" t="s">
        <v>505</v>
      </c>
      <c r="B962" t="s">
        <v>467</v>
      </c>
      <c r="C962">
        <v>8.2332388733688386</v>
      </c>
      <c r="D962">
        <v>180.80192565917969</v>
      </c>
      <c r="E962">
        <v>204.27217102050781</v>
      </c>
      <c r="F962">
        <f>(Table[[#This Row],[price_lag]] - Table[[#This Row],[price]]) / Table[[#This Row],[price]]</f>
        <v>0.12981192139275477</v>
      </c>
    </row>
    <row r="963" spans="1:6" hidden="1" x14ac:dyDescent="0.2">
      <c r="A963" t="s">
        <v>505</v>
      </c>
      <c r="B963" t="s">
        <v>468</v>
      </c>
      <c r="C963">
        <v>14.527921509324459</v>
      </c>
      <c r="D963">
        <v>132.49464416503909</v>
      </c>
      <c r="E963">
        <v>169.19309997558591</v>
      </c>
      <c r="F963">
        <f>(Table[[#This Row],[price_lag]] - Table[[#This Row],[price]]) / Table[[#This Row],[price]]</f>
        <v>0.27698067376092711</v>
      </c>
    </row>
    <row r="964" spans="1:6" hidden="1" x14ac:dyDescent="0.2">
      <c r="A964" t="s">
        <v>505</v>
      </c>
      <c r="B964" t="s">
        <v>469</v>
      </c>
      <c r="C964">
        <v>103.8836797078451</v>
      </c>
      <c r="D964">
        <v>62.330207824707031</v>
      </c>
      <c r="E964">
        <v>69.563934326171875</v>
      </c>
      <c r="F964">
        <f>(Table[[#This Row],[price_lag]] - Table[[#This Row],[price]]) / Table[[#This Row],[price]]</f>
        <v>0.11605490746651212</v>
      </c>
    </row>
    <row r="965" spans="1:6" hidden="1" x14ac:dyDescent="0.2">
      <c r="A965" t="s">
        <v>505</v>
      </c>
      <c r="B965" t="s">
        <v>470</v>
      </c>
      <c r="C965">
        <v>28.290722879131192</v>
      </c>
      <c r="D965">
        <v>100.714973449707</v>
      </c>
      <c r="E965">
        <v>106.4732666015625</v>
      </c>
      <c r="F965">
        <f>(Table[[#This Row],[price_lag]] - Table[[#This Row],[price]]) / Table[[#This Row],[price]]</f>
        <v>5.7174151515126566E-2</v>
      </c>
    </row>
    <row r="966" spans="1:6" hidden="1" x14ac:dyDescent="0.2">
      <c r="A966" t="s">
        <v>505</v>
      </c>
      <c r="B966" t="s">
        <v>471</v>
      </c>
      <c r="C966">
        <v>32.47543611138115</v>
      </c>
      <c r="D966">
        <v>287.08285522460938</v>
      </c>
      <c r="E966">
        <v>278.70956420898438</v>
      </c>
      <c r="F966">
        <f>(Table[[#This Row],[price_lag]] - Table[[#This Row],[price]]) / Table[[#This Row],[price]]</f>
        <v>-2.9166809731893815E-2</v>
      </c>
    </row>
    <row r="967" spans="1:6" hidden="1" x14ac:dyDescent="0.2">
      <c r="A967" t="s">
        <v>505</v>
      </c>
      <c r="B967" t="s">
        <v>472</v>
      </c>
      <c r="C967">
        <v>42.862010133859201</v>
      </c>
      <c r="D967">
        <v>310.32095336914062</v>
      </c>
      <c r="E967">
        <v>250.98876953125</v>
      </c>
      <c r="F967">
        <f>(Table[[#This Row],[price_lag]] - Table[[#This Row],[price]]) / Table[[#This Row],[price]]</f>
        <v>-0.19119618960216439</v>
      </c>
    </row>
    <row r="968" spans="1:6" hidden="1" x14ac:dyDescent="0.2">
      <c r="A968" t="s">
        <v>505</v>
      </c>
      <c r="B968" t="s">
        <v>473</v>
      </c>
      <c r="C968">
        <v>8.7177947416143908</v>
      </c>
      <c r="D968">
        <v>41.147991180419922</v>
      </c>
      <c r="E968">
        <v>42.470420837402337</v>
      </c>
      <c r="F968">
        <f>(Table[[#This Row],[price_lag]] - Table[[#This Row],[price]]) / Table[[#This Row],[price]]</f>
        <v>3.213837708830089E-2</v>
      </c>
    </row>
    <row r="969" spans="1:6" hidden="1" x14ac:dyDescent="0.2">
      <c r="A969" t="s">
        <v>505</v>
      </c>
      <c r="B969" t="s">
        <v>474</v>
      </c>
      <c r="C969">
        <v>27.686567923322841</v>
      </c>
      <c r="D969">
        <v>445.20001220703119</v>
      </c>
      <c r="E969">
        <v>391.6400146484375</v>
      </c>
      <c r="F969">
        <f>(Table[[#This Row],[price_lag]] - Table[[#This Row],[price]]) / Table[[#This Row],[price]]</f>
        <v>-0.12030547190031682</v>
      </c>
    </row>
    <row r="970" spans="1:6" hidden="1" x14ac:dyDescent="0.2">
      <c r="A970" t="s">
        <v>505</v>
      </c>
      <c r="B970" t="s">
        <v>475</v>
      </c>
      <c r="C970">
        <v>0</v>
      </c>
      <c r="D970">
        <v>8.728459358215332</v>
      </c>
      <c r="E970">
        <v>9.7864236831665039</v>
      </c>
      <c r="F970">
        <f>(Table[[#This Row],[price_lag]] - Table[[#This Row],[price]]) / Table[[#This Row],[price]]</f>
        <v>0.1212085983943321</v>
      </c>
    </row>
    <row r="971" spans="1:6" hidden="1" x14ac:dyDescent="0.2">
      <c r="A971" t="s">
        <v>505</v>
      </c>
      <c r="B971" t="s">
        <v>476</v>
      </c>
      <c r="C971">
        <v>9.646024355074255</v>
      </c>
      <c r="D971">
        <v>31.638959884643551</v>
      </c>
      <c r="E971">
        <v>32.091651916503913</v>
      </c>
      <c r="F971">
        <f>(Table[[#This Row],[price_lag]] - Table[[#This Row],[price]]) / Table[[#This Row],[price]]</f>
        <v>1.4308056696898028E-2</v>
      </c>
    </row>
    <row r="972" spans="1:6" hidden="1" x14ac:dyDescent="0.2">
      <c r="A972" t="s">
        <v>505</v>
      </c>
      <c r="B972" t="s">
        <v>477</v>
      </c>
      <c r="C972">
        <v>32.874136431952827</v>
      </c>
      <c r="D972">
        <v>353.7257080078125</v>
      </c>
      <c r="E972">
        <v>340.70513916015619</v>
      </c>
      <c r="F972">
        <f>(Table[[#This Row],[price_lag]] - Table[[#This Row],[price]]) / Table[[#This Row],[price]]</f>
        <v>-3.680978948628956E-2</v>
      </c>
    </row>
    <row r="973" spans="1:6" hidden="1" x14ac:dyDescent="0.2">
      <c r="A973" t="s">
        <v>505</v>
      </c>
      <c r="B973" t="s">
        <v>478</v>
      </c>
      <c r="C973">
        <v>58.538486690440813</v>
      </c>
      <c r="D973">
        <v>193.33201599121091</v>
      </c>
      <c r="E973">
        <v>195.64720153808591</v>
      </c>
      <c r="F973">
        <f>(Table[[#This Row],[price_lag]] - Table[[#This Row],[price]]) / Table[[#This Row],[price]]</f>
        <v>1.1975179253188209E-2</v>
      </c>
    </row>
    <row r="974" spans="1:6" hidden="1" x14ac:dyDescent="0.2">
      <c r="A974" t="s">
        <v>505</v>
      </c>
      <c r="B974" t="s">
        <v>479</v>
      </c>
      <c r="C974">
        <v>26.74317222563818</v>
      </c>
      <c r="D974">
        <v>259.94363403320312</v>
      </c>
      <c r="E974">
        <v>307.0953369140625</v>
      </c>
      <c r="F974">
        <f>(Table[[#This Row],[price_lag]] - Table[[#This Row],[price]]) / Table[[#This Row],[price]]</f>
        <v>0.18139202776105143</v>
      </c>
    </row>
    <row r="975" spans="1:6" hidden="1" x14ac:dyDescent="0.2">
      <c r="A975" t="s">
        <v>505</v>
      </c>
      <c r="B975" t="s">
        <v>480</v>
      </c>
      <c r="C975">
        <v>17.877780800998799</v>
      </c>
      <c r="D975">
        <v>72.226234436035156</v>
      </c>
      <c r="E975">
        <v>75.415390014648438</v>
      </c>
      <c r="F975">
        <f>(Table[[#This Row],[price_lag]] - Table[[#This Row],[price]]) / Table[[#This Row],[price]]</f>
        <v>4.4155085801097033E-2</v>
      </c>
    </row>
    <row r="976" spans="1:6" hidden="1" x14ac:dyDescent="0.2">
      <c r="A976" t="s">
        <v>505</v>
      </c>
      <c r="B976" t="s">
        <v>481</v>
      </c>
      <c r="C976">
        <v>25.908657070156089</v>
      </c>
      <c r="D976">
        <v>1035.309936523438</v>
      </c>
      <c r="E976">
        <v>950.7049560546875</v>
      </c>
      <c r="F976">
        <f>(Table[[#This Row],[price_lag]] - Table[[#This Row],[price]]) / Table[[#This Row],[price]]</f>
        <v>-8.1719471130406868E-2</v>
      </c>
    </row>
    <row r="977" spans="1:6" hidden="1" x14ac:dyDescent="0.2">
      <c r="A977" t="s">
        <v>505</v>
      </c>
      <c r="B977" t="s">
        <v>482</v>
      </c>
      <c r="C977">
        <v>26.636403920699141</v>
      </c>
      <c r="D977">
        <v>208.82940673828119</v>
      </c>
      <c r="E977">
        <v>200.2289733886719</v>
      </c>
      <c r="F977">
        <f>(Table[[#This Row],[price_lag]] - Table[[#This Row],[price]]) / Table[[#This Row],[price]]</f>
        <v>-4.1184014665079816E-2</v>
      </c>
    </row>
    <row r="978" spans="1:6" hidden="1" x14ac:dyDescent="0.2">
      <c r="A978" t="s">
        <v>505</v>
      </c>
      <c r="B978" t="s">
        <v>483</v>
      </c>
      <c r="C978">
        <v>27.65730294314298</v>
      </c>
      <c r="D978">
        <v>97.353706359863281</v>
      </c>
      <c r="E978">
        <v>102.850341796875</v>
      </c>
      <c r="F978">
        <f>(Table[[#This Row],[price_lag]] - Table[[#This Row],[price]]) / Table[[#This Row],[price]]</f>
        <v>5.6460464039177621E-2</v>
      </c>
    </row>
    <row r="979" spans="1:6" hidden="1" x14ac:dyDescent="0.2">
      <c r="A979" t="s">
        <v>505</v>
      </c>
      <c r="B979" t="s">
        <v>484</v>
      </c>
      <c r="C979">
        <v>10.54594222813436</v>
      </c>
      <c r="D979">
        <v>123.1766052246094</v>
      </c>
      <c r="E979">
        <v>113.7305145263672</v>
      </c>
      <c r="F979">
        <f>(Table[[#This Row],[price_lag]] - Table[[#This Row],[price]]) / Table[[#This Row],[price]]</f>
        <v>-7.6687376478816696E-2</v>
      </c>
    </row>
    <row r="980" spans="1:6" hidden="1" x14ac:dyDescent="0.2">
      <c r="A980" t="s">
        <v>505</v>
      </c>
      <c r="B980" t="s">
        <v>485</v>
      </c>
      <c r="C980">
        <v>4.4765625149011612</v>
      </c>
      <c r="D980">
        <v>11.460000038146971</v>
      </c>
      <c r="E980">
        <v>19.530000686645511</v>
      </c>
      <c r="F980">
        <f>(Table[[#This Row],[price_lag]] - Table[[#This Row],[price]]) / Table[[#This Row],[price]]</f>
        <v>0.70418853591936137</v>
      </c>
    </row>
    <row r="981" spans="1:6" hidden="1" x14ac:dyDescent="0.2">
      <c r="A981" t="s">
        <v>505</v>
      </c>
      <c r="B981" t="s">
        <v>486</v>
      </c>
      <c r="C981">
        <v>31.53969870673286</v>
      </c>
      <c r="D981">
        <v>227.08583068847659</v>
      </c>
      <c r="E981">
        <v>219.97943115234381</v>
      </c>
      <c r="F981">
        <f>(Table[[#This Row],[price_lag]] - Table[[#This Row],[price]]) / Table[[#This Row],[price]]</f>
        <v>-3.1293892333958802E-2</v>
      </c>
    </row>
    <row r="982" spans="1:6" hidden="1" x14ac:dyDescent="0.2">
      <c r="A982" t="s">
        <v>505</v>
      </c>
      <c r="B982" t="s">
        <v>487</v>
      </c>
      <c r="C982">
        <v>35.327936087542703</v>
      </c>
      <c r="D982">
        <v>349.04000854492188</v>
      </c>
      <c r="E982">
        <v>299.80999755859381</v>
      </c>
      <c r="F982">
        <f>(Table[[#This Row],[price_lag]] - Table[[#This Row],[price]]) / Table[[#This Row],[price]]</f>
        <v>-0.1410440344405163</v>
      </c>
    </row>
    <row r="983" spans="1:6" hidden="1" x14ac:dyDescent="0.2">
      <c r="A983" t="s">
        <v>505</v>
      </c>
      <c r="B983" t="s">
        <v>488</v>
      </c>
      <c r="C983">
        <v>33.288195226099582</v>
      </c>
      <c r="D983">
        <v>102.5276412963867</v>
      </c>
      <c r="E983">
        <v>113.67421722412109</v>
      </c>
      <c r="F983">
        <f>(Table[[#This Row],[price_lag]] - Table[[#This Row],[price]]) / Table[[#This Row],[price]]</f>
        <v>0.10871776417358407</v>
      </c>
    </row>
    <row r="984" spans="1:6" hidden="1" x14ac:dyDescent="0.2">
      <c r="A984" t="s">
        <v>505</v>
      </c>
      <c r="B984" t="s">
        <v>489</v>
      </c>
      <c r="C984">
        <v>12.303646158727799</v>
      </c>
      <c r="D984">
        <v>79.235481262207031</v>
      </c>
      <c r="E984">
        <v>83.381607055664062</v>
      </c>
      <c r="F984">
        <f>(Table[[#This Row],[price_lag]] - Table[[#This Row],[price]]) / Table[[#This Row],[price]]</f>
        <v>5.232663104217946E-2</v>
      </c>
    </row>
    <row r="985" spans="1:6" hidden="1" x14ac:dyDescent="0.2">
      <c r="A985" t="s">
        <v>505</v>
      </c>
      <c r="B985" t="s">
        <v>490</v>
      </c>
      <c r="C985">
        <v>82.857422206712798</v>
      </c>
      <c r="D985">
        <v>152.45765686035159</v>
      </c>
      <c r="E985">
        <v>177.44709777832031</v>
      </c>
      <c r="F985">
        <f>(Table[[#This Row],[price_lag]] - Table[[#This Row],[price]]) / Table[[#This Row],[price]]</f>
        <v>0.16391069778055548</v>
      </c>
    </row>
    <row r="986" spans="1:6" hidden="1" x14ac:dyDescent="0.2">
      <c r="A986" t="s">
        <v>505</v>
      </c>
      <c r="B986" t="s">
        <v>491</v>
      </c>
      <c r="C986">
        <v>30.006176036792791</v>
      </c>
      <c r="D986">
        <v>218.44496154785159</v>
      </c>
      <c r="E986">
        <v>262.1219482421875</v>
      </c>
      <c r="F986">
        <f>(Table[[#This Row],[price_lag]] - Table[[#This Row],[price]]) / Table[[#This Row],[price]]</f>
        <v>0.19994504054866113</v>
      </c>
    </row>
    <row r="987" spans="1:6" hidden="1" x14ac:dyDescent="0.2">
      <c r="A987" t="s">
        <v>505</v>
      </c>
      <c r="B987" t="s">
        <v>492</v>
      </c>
      <c r="C987">
        <v>11.65405955627887</v>
      </c>
      <c r="D987">
        <v>63.864246368408203</v>
      </c>
      <c r="E987">
        <v>119.9635391235352</v>
      </c>
      <c r="F987">
        <f>(Table[[#This Row],[price_lag]] - Table[[#This Row],[price]]) / Table[[#This Row],[price]]</f>
        <v>0.87841469907139924</v>
      </c>
    </row>
    <row r="988" spans="1:6" hidden="1" x14ac:dyDescent="0.2">
      <c r="A988" t="s">
        <v>505</v>
      </c>
      <c r="B988" t="s">
        <v>493</v>
      </c>
      <c r="C988">
        <v>52.586889266967773</v>
      </c>
      <c r="D988">
        <v>25.241706848144531</v>
      </c>
      <c r="E988">
        <v>24.556133270263668</v>
      </c>
      <c r="F988">
        <f>(Table[[#This Row],[price_lag]] - Table[[#This Row],[price]]) / Table[[#This Row],[price]]</f>
        <v>-2.7160349417149583E-2</v>
      </c>
    </row>
    <row r="989" spans="1:6" hidden="1" x14ac:dyDescent="0.2">
      <c r="A989" t="s">
        <v>505</v>
      </c>
      <c r="B989" t="s">
        <v>494</v>
      </c>
      <c r="C989">
        <v>19.90812705655404</v>
      </c>
      <c r="D989">
        <v>161.65399169921881</v>
      </c>
      <c r="E989">
        <v>194.14990234375</v>
      </c>
      <c r="F989">
        <f>(Table[[#This Row],[price_lag]] - Table[[#This Row],[price]]) / Table[[#This Row],[price]]</f>
        <v>0.20102139330400606</v>
      </c>
    </row>
    <row r="990" spans="1:6" hidden="1" x14ac:dyDescent="0.2">
      <c r="A990" t="s">
        <v>505</v>
      </c>
      <c r="B990" t="s">
        <v>495</v>
      </c>
      <c r="C990">
        <v>34.316391415066192</v>
      </c>
      <c r="D990">
        <v>61.769504547119141</v>
      </c>
      <c r="E990">
        <v>62.830055236816413</v>
      </c>
      <c r="F990">
        <f>(Table[[#This Row],[price_lag]] - Table[[#This Row],[price]]) / Table[[#This Row],[price]]</f>
        <v>1.7169486747109348E-2</v>
      </c>
    </row>
    <row r="991" spans="1:6" hidden="1" x14ac:dyDescent="0.2">
      <c r="A991" t="s">
        <v>505</v>
      </c>
      <c r="B991" t="s">
        <v>496</v>
      </c>
      <c r="C991">
        <v>22.816837333633519</v>
      </c>
      <c r="D991">
        <v>304.83294677734381</v>
      </c>
      <c r="E991">
        <v>344.49728393554688</v>
      </c>
      <c r="F991">
        <f>(Table[[#This Row],[price_lag]] - Table[[#This Row],[price]]) / Table[[#This Row],[price]]</f>
        <v>0.13011827486998873</v>
      </c>
    </row>
    <row r="992" spans="1:6" hidden="1" x14ac:dyDescent="0.2">
      <c r="A992" t="s">
        <v>505</v>
      </c>
      <c r="B992" t="s">
        <v>497</v>
      </c>
      <c r="C992">
        <v>69.767441860465112</v>
      </c>
      <c r="D992">
        <v>240</v>
      </c>
      <c r="E992">
        <v>240.72999572753909</v>
      </c>
      <c r="F992">
        <f>(Table[[#This Row],[price_lag]] - Table[[#This Row],[price]]) / Table[[#This Row],[price]]</f>
        <v>3.0416488647462122E-3</v>
      </c>
    </row>
    <row r="993" spans="1:6" hidden="1" x14ac:dyDescent="0.2">
      <c r="A993" t="s">
        <v>505</v>
      </c>
      <c r="B993" t="s">
        <v>498</v>
      </c>
      <c r="C993">
        <v>36.430671811103821</v>
      </c>
      <c r="D993">
        <v>93.262519836425781</v>
      </c>
      <c r="E993">
        <v>128.00439453125</v>
      </c>
      <c r="F993">
        <f>(Table[[#This Row],[price_lag]] - Table[[#This Row],[price]]) / Table[[#This Row],[price]]</f>
        <v>0.37251700635752066</v>
      </c>
    </row>
    <row r="994" spans="1:6" hidden="1" x14ac:dyDescent="0.2">
      <c r="A994" t="s">
        <v>505</v>
      </c>
      <c r="B994" t="s">
        <v>499</v>
      </c>
      <c r="C994">
        <v>22.056991175601361</v>
      </c>
      <c r="D994">
        <v>67.053253173828125</v>
      </c>
      <c r="E994">
        <v>80.032279968261719</v>
      </c>
      <c r="F994">
        <f>(Table[[#This Row],[price_lag]] - Table[[#This Row],[price]]) / Table[[#This Row],[price]]</f>
        <v>0.19356296943247342</v>
      </c>
    </row>
    <row r="995" spans="1:6" hidden="1" x14ac:dyDescent="0.2">
      <c r="A995" t="s">
        <v>505</v>
      </c>
      <c r="B995" t="s">
        <v>500</v>
      </c>
      <c r="C995">
        <v>34.580214305590559</v>
      </c>
      <c r="D995">
        <v>128.6383972167969</v>
      </c>
      <c r="E995">
        <v>147.0840148925781</v>
      </c>
      <c r="F995">
        <f>(Table[[#This Row],[price_lag]] - Table[[#This Row],[price]]) / Table[[#This Row],[price]]</f>
        <v>0.14339122746293564</v>
      </c>
    </row>
    <row r="996" spans="1:6" hidden="1" x14ac:dyDescent="0.2">
      <c r="A996" t="s">
        <v>505</v>
      </c>
      <c r="B996" t="s">
        <v>501</v>
      </c>
      <c r="C996">
        <v>27.38229836990584</v>
      </c>
      <c r="D996">
        <v>146.76911926269531</v>
      </c>
      <c r="E996">
        <v>151.28358459472659</v>
      </c>
      <c r="F996">
        <f>(Table[[#This Row],[price_lag]] - Table[[#This Row],[price]]) / Table[[#This Row],[price]]</f>
        <v>3.07589590692511E-2</v>
      </c>
    </row>
    <row r="997" spans="1:6" hidden="1" x14ac:dyDescent="0.2">
      <c r="A997" t="s">
        <v>505</v>
      </c>
      <c r="B997" t="s">
        <v>502</v>
      </c>
      <c r="C997">
        <v>35.040907426313908</v>
      </c>
      <c r="D997">
        <v>308.3599853515625</v>
      </c>
      <c r="E997">
        <v>297.16000366210938</v>
      </c>
      <c r="F997">
        <f>(Table[[#This Row],[price_lag]] - Table[[#This Row],[price]]) / Table[[#This Row],[price]]</f>
        <v>-3.6321125377807954E-2</v>
      </c>
    </row>
    <row r="998" spans="1:6" hidden="1" x14ac:dyDescent="0.2">
      <c r="A998" t="s">
        <v>505</v>
      </c>
      <c r="B998" t="s">
        <v>503</v>
      </c>
      <c r="C998">
        <v>29.463005065917969</v>
      </c>
      <c r="D998">
        <v>90.746055603027344</v>
      </c>
      <c r="E998">
        <v>98.238876342773438</v>
      </c>
      <c r="F998">
        <f>(Table[[#This Row],[price_lag]] - Table[[#This Row],[price]]) / Table[[#This Row],[price]]</f>
        <v>8.2569106612454549E-2</v>
      </c>
    </row>
    <row r="999" spans="1:6" hidden="1" x14ac:dyDescent="0.2">
      <c r="A999" t="s">
        <v>505</v>
      </c>
      <c r="B999" t="s">
        <v>504</v>
      </c>
      <c r="C999">
        <v>23.949124354013001</v>
      </c>
      <c r="D999">
        <v>154.23236083984381</v>
      </c>
      <c r="E999">
        <v>145.19232177734381</v>
      </c>
      <c r="F999">
        <f>(Table[[#This Row],[price_lag]] - Table[[#This Row],[price]]) / Table[[#This Row],[price]]</f>
        <v>-5.8613114739825924E-2</v>
      </c>
    </row>
    <row r="1000" spans="1:6" hidden="1" x14ac:dyDescent="0.2">
      <c r="A1000" t="s">
        <v>506</v>
      </c>
      <c r="B1000" t="s">
        <v>6</v>
      </c>
      <c r="C1000">
        <v>17.66459395245808</v>
      </c>
      <c r="D1000">
        <v>144.84967041015619</v>
      </c>
      <c r="E1000">
        <v>150.89143371582031</v>
      </c>
      <c r="F1000">
        <f>(Table[[#This Row],[price_lag]] - Table[[#This Row],[price]]) / Table[[#This Row],[price]]</f>
        <v>4.1710576824622848E-2</v>
      </c>
    </row>
    <row r="1001" spans="1:6" hidden="1" x14ac:dyDescent="0.2">
      <c r="A1001" t="s">
        <v>506</v>
      </c>
      <c r="B1001" t="s">
        <v>7</v>
      </c>
      <c r="C1001">
        <v>17.011540449819581</v>
      </c>
      <c r="D1001">
        <v>64.366973876953125</v>
      </c>
      <c r="E1001">
        <v>64.903045654296875</v>
      </c>
      <c r="F1001">
        <f>(Table[[#This Row],[price_lag]] - Table[[#This Row],[price]]) / Table[[#This Row],[price]]</f>
        <v>8.3283669412287358E-3</v>
      </c>
    </row>
    <row r="1002" spans="1:6" hidden="1" x14ac:dyDescent="0.2">
      <c r="A1002" t="s">
        <v>506</v>
      </c>
      <c r="B1002" t="s">
        <v>8</v>
      </c>
      <c r="C1002">
        <v>42.831195028204668</v>
      </c>
      <c r="D1002">
        <v>130.20683288574219</v>
      </c>
      <c r="E1002">
        <v>134.12336730957031</v>
      </c>
      <c r="F1002">
        <f>(Table[[#This Row],[price_lag]] - Table[[#This Row],[price]]) / Table[[#This Row],[price]]</f>
        <v>3.007933099229073E-2</v>
      </c>
    </row>
    <row r="1003" spans="1:6" hidden="1" x14ac:dyDescent="0.2">
      <c r="A1003" t="s">
        <v>506</v>
      </c>
      <c r="B1003" t="s">
        <v>9</v>
      </c>
      <c r="C1003">
        <v>69.607573411658819</v>
      </c>
      <c r="D1003">
        <v>202.71952819824219</v>
      </c>
      <c r="E1003">
        <v>181.2549743652344</v>
      </c>
      <c r="F1003">
        <f>(Table[[#This Row],[price_lag]] - Table[[#This Row],[price]]) / Table[[#This Row],[price]]</f>
        <v>-0.10588301000788293</v>
      </c>
    </row>
    <row r="1004" spans="1:6" hidden="1" x14ac:dyDescent="0.2">
      <c r="A1004" t="s">
        <v>506</v>
      </c>
      <c r="B1004" t="s">
        <v>10</v>
      </c>
      <c r="C1004">
        <v>27.101325319524399</v>
      </c>
      <c r="D1004">
        <v>308.95510864257812</v>
      </c>
      <c r="E1004">
        <v>297.402587890625</v>
      </c>
      <c r="F1004">
        <f>(Table[[#This Row],[price_lag]] - Table[[#This Row],[price]]) / Table[[#This Row],[price]]</f>
        <v>-3.7392230873637786E-2</v>
      </c>
    </row>
    <row r="1005" spans="1:6" hidden="1" x14ac:dyDescent="0.2">
      <c r="A1005" t="s">
        <v>506</v>
      </c>
      <c r="B1005" t="s">
        <v>11</v>
      </c>
      <c r="C1005">
        <v>23.104216793933549</v>
      </c>
      <c r="D1005">
        <v>383.52999877929688</v>
      </c>
      <c r="E1005">
        <v>386.8800048828125</v>
      </c>
      <c r="F1005">
        <f>(Table[[#This Row],[price_lag]] - Table[[#This Row],[price]]) / Table[[#This Row],[price]]</f>
        <v>8.7346651218367741E-3</v>
      </c>
    </row>
    <row r="1006" spans="1:6" hidden="1" x14ac:dyDescent="0.2">
      <c r="A1006" t="s">
        <v>506</v>
      </c>
      <c r="B1006" t="s">
        <v>12</v>
      </c>
      <c r="C1006">
        <v>58.374998786232688</v>
      </c>
      <c r="D1006">
        <v>102.7399978637695</v>
      </c>
      <c r="E1006">
        <v>141.8999938964844</v>
      </c>
      <c r="F1006">
        <f>(Table[[#This Row],[price_lag]] - Table[[#This Row],[price]]) / Table[[#This Row],[price]]</f>
        <v>0.38115628622690856</v>
      </c>
    </row>
    <row r="1007" spans="1:6" hidden="1" x14ac:dyDescent="0.2">
      <c r="A1007" t="s">
        <v>506</v>
      </c>
      <c r="B1007" t="s">
        <v>13</v>
      </c>
      <c r="C1007">
        <v>42.453513826642713</v>
      </c>
      <c r="D1007">
        <v>11.886983871459959</v>
      </c>
      <c r="E1007">
        <v>10.248904228210449</v>
      </c>
      <c r="F1007">
        <f>(Table[[#This Row],[price_lag]] - Table[[#This Row],[price]]) / Table[[#This Row],[price]]</f>
        <v>-0.13780448101578194</v>
      </c>
    </row>
    <row r="1008" spans="1:6" hidden="1" x14ac:dyDescent="0.2">
      <c r="A1008" t="s">
        <v>506</v>
      </c>
      <c r="B1008" t="s">
        <v>14</v>
      </c>
      <c r="C1008">
        <v>547.04319000244141</v>
      </c>
      <c r="D1008">
        <v>109.4086380004883</v>
      </c>
      <c r="E1008">
        <v>104.3434219360352</v>
      </c>
      <c r="F1008">
        <f>(Table[[#This Row],[price_lag]] - Table[[#This Row],[price]]) / Table[[#This Row],[price]]</f>
        <v>-4.6296308564141804E-2</v>
      </c>
    </row>
    <row r="1009" spans="1:6" hidden="1" x14ac:dyDescent="0.2">
      <c r="A1009" t="s">
        <v>506</v>
      </c>
      <c r="B1009" t="s">
        <v>15</v>
      </c>
      <c r="C1009">
        <v>38.68194580078125</v>
      </c>
      <c r="D1009">
        <v>116.04583740234381</v>
      </c>
      <c r="E1009">
        <v>117.3163223266602</v>
      </c>
      <c r="F1009">
        <f>(Table[[#This Row],[price_lag]] - Table[[#This Row],[price]]) / Table[[#This Row],[price]]</f>
        <v>1.0948130090280445E-2</v>
      </c>
    </row>
    <row r="1010" spans="1:6" hidden="1" x14ac:dyDescent="0.2">
      <c r="A1010" t="s">
        <v>506</v>
      </c>
      <c r="B1010" t="s">
        <v>16</v>
      </c>
      <c r="C1010">
        <v>0</v>
      </c>
      <c r="D1010">
        <v>287.26123046875</v>
      </c>
      <c r="E1010">
        <v>276.41281127929688</v>
      </c>
      <c r="F1010">
        <f>(Table[[#This Row],[price_lag]] - Table[[#This Row],[price]]) / Table[[#This Row],[price]]</f>
        <v>-3.7764995895028311E-2</v>
      </c>
    </row>
    <row r="1011" spans="1:6" hidden="1" x14ac:dyDescent="0.2">
      <c r="A1011" t="s">
        <v>506</v>
      </c>
      <c r="B1011" t="s">
        <v>17</v>
      </c>
      <c r="C1011">
        <v>119.4599990844727</v>
      </c>
      <c r="D1011">
        <v>119.4599990844727</v>
      </c>
      <c r="E1011">
        <v>132.3399963378906</v>
      </c>
      <c r="F1011">
        <f>(Table[[#This Row],[price_lag]] - Table[[#This Row],[price]]) / Table[[#This Row],[price]]</f>
        <v>0.10781849449295725</v>
      </c>
    </row>
    <row r="1012" spans="1:6" hidden="1" x14ac:dyDescent="0.2">
      <c r="A1012" t="s">
        <v>506</v>
      </c>
      <c r="B1012" t="s">
        <v>18</v>
      </c>
      <c r="C1012">
        <v>24.246987951807231</v>
      </c>
      <c r="D1012">
        <v>80.5</v>
      </c>
      <c r="E1012">
        <v>79.760002136230469</v>
      </c>
      <c r="F1012">
        <f>(Table[[#This Row],[price_lag]] - Table[[#This Row],[price]]) / Table[[#This Row],[price]]</f>
        <v>-9.1925200468264759E-3</v>
      </c>
    </row>
    <row r="1013" spans="1:6" hidden="1" x14ac:dyDescent="0.2">
      <c r="A1013" t="s">
        <v>506</v>
      </c>
      <c r="B1013" t="s">
        <v>19</v>
      </c>
      <c r="C1013">
        <v>0</v>
      </c>
      <c r="D1013">
        <v>70.952873229980469</v>
      </c>
      <c r="E1013">
        <v>62.144237518310547</v>
      </c>
      <c r="F1013">
        <f>(Table[[#This Row],[price_lag]] - Table[[#This Row],[price]]) / Table[[#This Row],[price]]</f>
        <v>-0.12414769565593738</v>
      </c>
    </row>
    <row r="1014" spans="1:6" hidden="1" x14ac:dyDescent="0.2">
      <c r="A1014" t="s">
        <v>506</v>
      </c>
      <c r="B1014" t="s">
        <v>20</v>
      </c>
      <c r="C1014">
        <v>0</v>
      </c>
      <c r="D1014">
        <v>88.123664855957031</v>
      </c>
      <c r="E1014">
        <v>70.45379638671875</v>
      </c>
      <c r="F1014">
        <f>(Table[[#This Row],[price_lag]] - Table[[#This Row],[price]]) / Table[[#This Row],[price]]</f>
        <v>-0.20051218362423592</v>
      </c>
    </row>
    <row r="1015" spans="1:6" hidden="1" x14ac:dyDescent="0.2">
      <c r="A1015" t="s">
        <v>506</v>
      </c>
      <c r="B1015" t="s">
        <v>21</v>
      </c>
      <c r="C1015">
        <v>31.27165366345503</v>
      </c>
      <c r="D1015">
        <v>158.86000061035159</v>
      </c>
      <c r="E1015">
        <v>189.33000183105469</v>
      </c>
      <c r="F1015">
        <f>(Table[[#This Row],[price_lag]] - Table[[#This Row],[price]]) / Table[[#This Row],[price]]</f>
        <v>0.19180411118994808</v>
      </c>
    </row>
    <row r="1016" spans="1:6" hidden="1" x14ac:dyDescent="0.2">
      <c r="A1016" t="s">
        <v>506</v>
      </c>
      <c r="B1016" t="s">
        <v>22</v>
      </c>
      <c r="C1016">
        <v>18.892472289329351</v>
      </c>
      <c r="D1016">
        <v>129.98020935058591</v>
      </c>
      <c r="E1016">
        <v>144.1199951171875</v>
      </c>
      <c r="F1016">
        <f>(Table[[#This Row],[price_lag]] - Table[[#This Row],[price]]) / Table[[#This Row],[price]]</f>
        <v>0.10878414365731173</v>
      </c>
    </row>
    <row r="1017" spans="1:6" hidden="1" x14ac:dyDescent="0.2">
      <c r="A1017" t="s">
        <v>506</v>
      </c>
      <c r="B1017" t="s">
        <v>23</v>
      </c>
      <c r="C1017">
        <v>18.930733922016191</v>
      </c>
      <c r="D1017">
        <v>62.85003662109375</v>
      </c>
      <c r="E1017">
        <v>59.550537109375</v>
      </c>
      <c r="F1017">
        <f>(Table[[#This Row],[price_lag]] - Table[[#This Row],[price]]) / Table[[#This Row],[price]]</f>
        <v>-5.2497972779404413E-2</v>
      </c>
    </row>
    <row r="1018" spans="1:6" hidden="1" x14ac:dyDescent="0.2">
      <c r="A1018" t="s">
        <v>506</v>
      </c>
      <c r="B1018" t="s">
        <v>24</v>
      </c>
      <c r="C1018">
        <v>23.95546604210222</v>
      </c>
      <c r="D1018">
        <v>204.10057067871091</v>
      </c>
      <c r="E1018">
        <v>199.38145446777341</v>
      </c>
      <c r="F1018">
        <f>(Table[[#This Row],[price_lag]] - Table[[#This Row],[price]]) / Table[[#This Row],[price]]</f>
        <v>-2.3121523841137089E-2</v>
      </c>
    </row>
    <row r="1019" spans="1:6" hidden="1" x14ac:dyDescent="0.2">
      <c r="A1019" t="s">
        <v>506</v>
      </c>
      <c r="B1019" t="s">
        <v>25</v>
      </c>
      <c r="C1019">
        <v>13.575187199552291</v>
      </c>
      <c r="D1019">
        <v>154.21412658691409</v>
      </c>
      <c r="E1019">
        <v>175.9574279785156</v>
      </c>
      <c r="F1019">
        <f>(Table[[#This Row],[price_lag]] - Table[[#This Row],[price]]) / Table[[#This Row],[price]]</f>
        <v>0.14099422583927237</v>
      </c>
    </row>
    <row r="1020" spans="1:6" x14ac:dyDescent="0.2">
      <c r="A1020" t="s">
        <v>506</v>
      </c>
      <c r="B1020" t="s">
        <v>26</v>
      </c>
      <c r="C1020">
        <v>13.7149152621417</v>
      </c>
      <c r="D1020">
        <v>155.80143737792969</v>
      </c>
      <c r="E1020">
        <v>177.11602783203119</v>
      </c>
      <c r="F1020">
        <f>(Table[[#This Row],[price_lag]] - Table[[#This Row],[price]]) / Table[[#This Row],[price]]</f>
        <v>0.1368061220282481</v>
      </c>
    </row>
    <row r="1021" spans="1:6" hidden="1" x14ac:dyDescent="0.2">
      <c r="A1021" t="s">
        <v>506</v>
      </c>
      <c r="B1021" t="s">
        <v>27</v>
      </c>
      <c r="C1021">
        <v>22.307690596508792</v>
      </c>
      <c r="D1021">
        <v>57.01470947265625</v>
      </c>
      <c r="E1021">
        <v>56.660602569580078</v>
      </c>
      <c r="F1021">
        <f>(Table[[#This Row],[price_lag]] - Table[[#This Row],[price]]) / Table[[#This Row],[price]]</f>
        <v>-6.2107990438151472E-3</v>
      </c>
    </row>
    <row r="1022" spans="1:6" hidden="1" x14ac:dyDescent="0.2">
      <c r="A1022" t="s">
        <v>506</v>
      </c>
      <c r="B1022" t="s">
        <v>28</v>
      </c>
      <c r="C1022">
        <v>29.361110263400601</v>
      </c>
      <c r="D1022">
        <v>190.25999450683591</v>
      </c>
      <c r="E1022">
        <v>219.38999938964841</v>
      </c>
      <c r="F1022">
        <f>(Table[[#This Row],[price_lag]] - Table[[#This Row],[price]]) / Table[[#This Row],[price]]</f>
        <v>0.15310630570719311</v>
      </c>
    </row>
    <row r="1023" spans="1:6" hidden="1" x14ac:dyDescent="0.2">
      <c r="A1023" t="s">
        <v>506</v>
      </c>
      <c r="B1023" t="s">
        <v>29</v>
      </c>
      <c r="C1023">
        <v>87.911297293270323</v>
      </c>
      <c r="D1023">
        <v>47.823745727539062</v>
      </c>
      <c r="E1023">
        <v>45.950000762939453</v>
      </c>
      <c r="F1023">
        <f>(Table[[#This Row],[price_lag]] - Table[[#This Row],[price]]) / Table[[#This Row],[price]]</f>
        <v>-3.9180221793472414E-2</v>
      </c>
    </row>
    <row r="1024" spans="1:6" hidden="1" x14ac:dyDescent="0.2">
      <c r="A1024" t="s">
        <v>506</v>
      </c>
      <c r="B1024" t="s">
        <v>30</v>
      </c>
      <c r="C1024">
        <v>22.953721518828491</v>
      </c>
      <c r="D1024">
        <v>98.241928100585938</v>
      </c>
      <c r="E1024">
        <v>94.676368713378906</v>
      </c>
      <c r="F1024">
        <f>(Table[[#This Row],[price_lag]] - Table[[#This Row],[price]]) / Table[[#This Row],[price]]</f>
        <v>-3.6293662554712884E-2</v>
      </c>
    </row>
    <row r="1025" spans="1:6" hidden="1" x14ac:dyDescent="0.2">
      <c r="A1025" t="s">
        <v>506</v>
      </c>
      <c r="B1025" t="s">
        <v>31</v>
      </c>
      <c r="C1025">
        <v>17.762985229492191</v>
      </c>
      <c r="D1025">
        <v>106.5779113769531</v>
      </c>
      <c r="E1025">
        <v>102.1064071655273</v>
      </c>
      <c r="F1025">
        <f>(Table[[#This Row],[price_lag]] - Table[[#This Row],[price]]) / Table[[#This Row],[price]]</f>
        <v>-4.1955262151935305E-2</v>
      </c>
    </row>
    <row r="1026" spans="1:6" hidden="1" x14ac:dyDescent="0.2">
      <c r="A1026" t="s">
        <v>506</v>
      </c>
      <c r="B1026" t="s">
        <v>32</v>
      </c>
      <c r="C1026">
        <v>18.284135336404319</v>
      </c>
      <c r="D1026">
        <v>266.21701049804688</v>
      </c>
      <c r="E1026">
        <v>316.6690673828125</v>
      </c>
      <c r="F1026">
        <f>(Table[[#This Row],[price_lag]] - Table[[#This Row],[price]]) / Table[[#This Row],[price]]</f>
        <v>0.189514775146706</v>
      </c>
    </row>
    <row r="1027" spans="1:6" hidden="1" x14ac:dyDescent="0.2">
      <c r="A1027" t="s">
        <v>506</v>
      </c>
      <c r="B1027" t="s">
        <v>33</v>
      </c>
      <c r="C1027">
        <v>18.120862669863939</v>
      </c>
      <c r="D1027">
        <v>85.530471801757812</v>
      </c>
      <c r="E1027">
        <v>84.646293640136719</v>
      </c>
      <c r="F1027">
        <f>(Table[[#This Row],[price_lag]] - Table[[#This Row],[price]]) / Table[[#This Row],[price]]</f>
        <v>-1.0337580782559442E-2</v>
      </c>
    </row>
    <row r="1028" spans="1:6" hidden="1" x14ac:dyDescent="0.2">
      <c r="A1028" t="s">
        <v>506</v>
      </c>
      <c r="B1028" t="s">
        <v>34</v>
      </c>
      <c r="C1028">
        <v>50.052904401506687</v>
      </c>
      <c r="D1028">
        <v>210.2221984863281</v>
      </c>
      <c r="E1028">
        <v>216.97743225097659</v>
      </c>
      <c r="F1028">
        <f>(Table[[#This Row],[price_lag]] - Table[[#This Row],[price]]) / Table[[#This Row],[price]]</f>
        <v>3.2133779464245421E-2</v>
      </c>
    </row>
    <row r="1029" spans="1:6" hidden="1" x14ac:dyDescent="0.2">
      <c r="A1029" t="s">
        <v>506</v>
      </c>
      <c r="B1029" t="s">
        <v>35</v>
      </c>
      <c r="C1029">
        <v>34.493920462472097</v>
      </c>
      <c r="D1029">
        <v>144.87446594238281</v>
      </c>
      <c r="E1029">
        <v>137.43609619140619</v>
      </c>
      <c r="F1029">
        <f>(Table[[#This Row],[price_lag]] - Table[[#This Row],[price]]) / Table[[#This Row],[price]]</f>
        <v>-5.1343552520393E-2</v>
      </c>
    </row>
    <row r="1030" spans="1:6" hidden="1" x14ac:dyDescent="0.2">
      <c r="A1030" t="s">
        <v>506</v>
      </c>
      <c r="B1030" t="s">
        <v>36</v>
      </c>
      <c r="C1030">
        <v>20.240882925085121</v>
      </c>
      <c r="D1030">
        <v>479.30410766601562</v>
      </c>
      <c r="E1030">
        <v>530.18243408203125</v>
      </c>
      <c r="F1030">
        <f>(Table[[#This Row],[price_lag]] - Table[[#This Row],[price]]) / Table[[#This Row],[price]]</f>
        <v>0.10615040764780635</v>
      </c>
    </row>
    <row r="1031" spans="1:6" hidden="1" x14ac:dyDescent="0.2">
      <c r="A1031" t="s">
        <v>506</v>
      </c>
      <c r="B1031" t="s">
        <v>37</v>
      </c>
      <c r="C1031">
        <v>28.173692602860299</v>
      </c>
      <c r="D1031">
        <v>171.2960510253906</v>
      </c>
      <c r="E1031">
        <v>180.38352966308591</v>
      </c>
      <c r="F1031">
        <f>(Table[[#This Row],[price_lag]] - Table[[#This Row],[price]]) / Table[[#This Row],[price]]</f>
        <v>5.3051302603282481E-2</v>
      </c>
    </row>
    <row r="1032" spans="1:6" hidden="1" x14ac:dyDescent="0.2">
      <c r="A1032" t="s">
        <v>506</v>
      </c>
      <c r="B1032" t="s">
        <v>38</v>
      </c>
      <c r="C1032">
        <v>23.615395208323221</v>
      </c>
      <c r="D1032">
        <v>304.16629028320312</v>
      </c>
      <c r="E1032">
        <v>275.00173950195312</v>
      </c>
      <c r="F1032">
        <f>(Table[[#This Row],[price_lag]] - Table[[#This Row],[price]]) / Table[[#This Row],[price]]</f>
        <v>-9.588357327202654E-2</v>
      </c>
    </row>
    <row r="1033" spans="1:6" hidden="1" x14ac:dyDescent="0.2">
      <c r="A1033" t="s">
        <v>506</v>
      </c>
      <c r="B1033" t="s">
        <v>39</v>
      </c>
      <c r="C1033">
        <v>26.744945713731109</v>
      </c>
      <c r="D1033">
        <v>65.257667541503906</v>
      </c>
      <c r="E1033">
        <v>98.423568725585938</v>
      </c>
      <c r="F1033">
        <f>(Table[[#This Row],[price_lag]] - Table[[#This Row],[price]]) / Table[[#This Row],[price]]</f>
        <v>0.50822995110863411</v>
      </c>
    </row>
    <row r="1034" spans="1:6" hidden="1" x14ac:dyDescent="0.2">
      <c r="A1034" t="s">
        <v>506</v>
      </c>
      <c r="B1034" t="s">
        <v>40</v>
      </c>
      <c r="C1034">
        <v>43.317685334578798</v>
      </c>
      <c r="D1034">
        <v>199.2613525390625</v>
      </c>
      <c r="E1034">
        <v>236.2479553222656</v>
      </c>
      <c r="F1034">
        <f>(Table[[#This Row],[price_lag]] - Table[[#This Row],[price]]) / Table[[#This Row],[price]]</f>
        <v>0.18561854725919505</v>
      </c>
    </row>
    <row r="1035" spans="1:6" hidden="1" x14ac:dyDescent="0.2">
      <c r="A1035" t="s">
        <v>506</v>
      </c>
      <c r="B1035" t="s">
        <v>41</v>
      </c>
      <c r="C1035">
        <v>22.276786838411748</v>
      </c>
      <c r="D1035">
        <v>397.41787719726562</v>
      </c>
      <c r="E1035">
        <v>356.0128173828125</v>
      </c>
      <c r="F1035">
        <f>(Table[[#This Row],[price_lag]] - Table[[#This Row],[price]]) / Table[[#This Row],[price]]</f>
        <v>-0.10418519696812976</v>
      </c>
    </row>
    <row r="1036" spans="1:6" hidden="1" x14ac:dyDescent="0.2">
      <c r="A1036" t="s">
        <v>506</v>
      </c>
      <c r="B1036" t="s">
        <v>42</v>
      </c>
      <c r="C1036">
        <v>5.2049577236175537</v>
      </c>
      <c r="D1036">
        <v>19.98703765869141</v>
      </c>
      <c r="E1036">
        <v>17.676298141479489</v>
      </c>
      <c r="F1036">
        <f>(Table[[#This Row],[price_lag]] - Table[[#This Row],[price]]) / Table[[#This Row],[price]]</f>
        <v>-0.11561190590978301</v>
      </c>
    </row>
    <row r="1037" spans="1:6" hidden="1" x14ac:dyDescent="0.2">
      <c r="A1037" t="s">
        <v>506</v>
      </c>
      <c r="B1037" t="s">
        <v>43</v>
      </c>
      <c r="C1037">
        <v>49.78852552526137</v>
      </c>
      <c r="D1037">
        <v>135.42478942871091</v>
      </c>
      <c r="E1037">
        <v>140.79893493652341</v>
      </c>
      <c r="F1037">
        <f>(Table[[#This Row],[price_lag]] - Table[[#This Row],[price]]) / Table[[#This Row],[price]]</f>
        <v>3.9683617234948766E-2</v>
      </c>
    </row>
    <row r="1038" spans="1:6" hidden="1" x14ac:dyDescent="0.2">
      <c r="A1038" t="s">
        <v>506</v>
      </c>
      <c r="B1038" t="s">
        <v>44</v>
      </c>
      <c r="C1038">
        <v>33.541366114760891</v>
      </c>
      <c r="D1038">
        <v>221.3730163574219</v>
      </c>
      <c r="E1038">
        <v>204.73893737792969</v>
      </c>
      <c r="F1038">
        <f>(Table[[#This Row],[price_lag]] - Table[[#This Row],[price]]) / Table[[#This Row],[price]]</f>
        <v>-7.5140499294798227E-2</v>
      </c>
    </row>
    <row r="1039" spans="1:6" hidden="1" x14ac:dyDescent="0.2">
      <c r="A1039" t="s">
        <v>506</v>
      </c>
      <c r="B1039" t="s">
        <v>45</v>
      </c>
      <c r="C1039">
        <v>13.63756295406457</v>
      </c>
      <c r="D1039">
        <v>144.0126647949219</v>
      </c>
      <c r="E1039">
        <v>182.18968200683591</v>
      </c>
      <c r="F1039">
        <f>(Table[[#This Row],[price_lag]] - Table[[#This Row],[price]]) / Table[[#This Row],[price]]</f>
        <v>0.26509485999914767</v>
      </c>
    </row>
    <row r="1040" spans="1:6" hidden="1" x14ac:dyDescent="0.2">
      <c r="A1040" t="s">
        <v>506</v>
      </c>
      <c r="B1040" t="s">
        <v>46</v>
      </c>
      <c r="C1040">
        <v>0</v>
      </c>
      <c r="D1040">
        <v>59.5</v>
      </c>
      <c r="E1040">
        <v>68.220001220703125</v>
      </c>
      <c r="F1040">
        <f>(Table[[#This Row],[price_lag]] - Table[[#This Row],[price]]) / Table[[#This Row],[price]]</f>
        <v>0.1465546423647584</v>
      </c>
    </row>
    <row r="1041" spans="1:6" hidden="1" x14ac:dyDescent="0.2">
      <c r="A1041" t="s">
        <v>506</v>
      </c>
      <c r="B1041" t="s">
        <v>47</v>
      </c>
      <c r="C1041">
        <v>15.923841110128439</v>
      </c>
      <c r="D1041">
        <v>96.180000305175781</v>
      </c>
      <c r="E1041">
        <v>91.050003051757812</v>
      </c>
      <c r="F1041">
        <f>(Table[[#This Row],[price_lag]] - Table[[#This Row],[price]]) / Table[[#This Row],[price]]</f>
        <v>-5.333746347619741E-2</v>
      </c>
    </row>
    <row r="1042" spans="1:6" hidden="1" x14ac:dyDescent="0.2">
      <c r="A1042" t="s">
        <v>506</v>
      </c>
      <c r="B1042" t="s">
        <v>48</v>
      </c>
      <c r="C1042">
        <v>19.012503290043519</v>
      </c>
      <c r="D1042">
        <v>46.723911285400391</v>
      </c>
      <c r="E1042">
        <v>51.893760681152337</v>
      </c>
      <c r="F1042">
        <f>(Table[[#This Row],[price_lag]] - Table[[#This Row],[price]]) / Table[[#This Row],[price]]</f>
        <v>0.11064675994638629</v>
      </c>
    </row>
    <row r="1043" spans="1:6" hidden="1" x14ac:dyDescent="0.2">
      <c r="A1043" t="s">
        <v>506</v>
      </c>
      <c r="B1043" t="s">
        <v>49</v>
      </c>
      <c r="C1043">
        <v>29.8000012911283</v>
      </c>
      <c r="D1043">
        <v>77.480003356933594</v>
      </c>
      <c r="E1043">
        <v>102.30999755859381</v>
      </c>
      <c r="F1043">
        <f>(Table[[#This Row],[price_lag]] - Table[[#This Row],[price]]) / Table[[#This Row],[price]]</f>
        <v>0.32046970993630197</v>
      </c>
    </row>
    <row r="1044" spans="1:6" hidden="1" x14ac:dyDescent="0.2">
      <c r="A1044" t="s">
        <v>506</v>
      </c>
      <c r="B1044" t="s">
        <v>50</v>
      </c>
      <c r="C1044">
        <v>31.011246372292959</v>
      </c>
      <c r="D1044">
        <v>342.8994140625</v>
      </c>
      <c r="E1044">
        <v>318.58084106445312</v>
      </c>
      <c r="F1044">
        <f>(Table[[#This Row],[price_lag]] - Table[[#This Row],[price]]) / Table[[#This Row],[price]]</f>
        <v>-7.0920427392781565E-2</v>
      </c>
    </row>
    <row r="1045" spans="1:6" hidden="1" x14ac:dyDescent="0.2">
      <c r="A1045" t="s">
        <v>506</v>
      </c>
      <c r="B1045" t="s">
        <v>51</v>
      </c>
      <c r="C1045">
        <v>18.124764449112899</v>
      </c>
      <c r="D1045">
        <v>207.34730529785159</v>
      </c>
      <c r="E1045">
        <v>195.99836730957031</v>
      </c>
      <c r="F1045">
        <f>(Table[[#This Row],[price_lag]] - Table[[#This Row],[price]]) / Table[[#This Row],[price]]</f>
        <v>-5.4733954569502037E-2</v>
      </c>
    </row>
    <row r="1046" spans="1:6" hidden="1" x14ac:dyDescent="0.2">
      <c r="A1046" t="s">
        <v>506</v>
      </c>
      <c r="B1046" t="s">
        <v>52</v>
      </c>
      <c r="C1046">
        <v>11.103851287091359</v>
      </c>
      <c r="D1046">
        <v>27.09339714050293</v>
      </c>
      <c r="E1046">
        <v>28.01998329162598</v>
      </c>
      <c r="F1046">
        <f>(Table[[#This Row],[price_lag]] - Table[[#This Row],[price]]) / Table[[#This Row],[price]]</f>
        <v>3.4199703577882531E-2</v>
      </c>
    </row>
    <row r="1047" spans="1:6" hidden="1" x14ac:dyDescent="0.2">
      <c r="A1047" t="s">
        <v>506</v>
      </c>
      <c r="B1047" t="s">
        <v>53</v>
      </c>
      <c r="C1047">
        <v>12.46366782266586</v>
      </c>
      <c r="D1047">
        <v>152.05674743652341</v>
      </c>
      <c r="E1047">
        <v>152.4376525878906</v>
      </c>
      <c r="F1047">
        <f>(Table[[#This Row],[price_lag]] - Table[[#This Row],[price]]) / Table[[#This Row],[price]]</f>
        <v>2.5050197231543283E-3</v>
      </c>
    </row>
    <row r="1048" spans="1:6" hidden="1" x14ac:dyDescent="0.2">
      <c r="A1048" t="s">
        <v>506</v>
      </c>
      <c r="B1048" t="s">
        <v>54</v>
      </c>
      <c r="C1048">
        <v>92.183094293298865</v>
      </c>
      <c r="D1048">
        <v>261.79998779296881</v>
      </c>
      <c r="E1048">
        <v>309.57000732421881</v>
      </c>
      <c r="F1048">
        <f>(Table[[#This Row],[price_lag]] - Table[[#This Row],[price]]) / Table[[#This Row],[price]]</f>
        <v>0.18246761557921265</v>
      </c>
    </row>
    <row r="1049" spans="1:6" hidden="1" x14ac:dyDescent="0.2">
      <c r="A1049" t="s">
        <v>506</v>
      </c>
      <c r="B1049" t="s">
        <v>55</v>
      </c>
      <c r="C1049">
        <v>24.47049268293847</v>
      </c>
      <c r="D1049">
        <v>300.49765014648438</v>
      </c>
      <c r="E1049">
        <v>304.8359375</v>
      </c>
      <c r="F1049">
        <f>(Table[[#This Row],[price_lag]] - Table[[#This Row],[price]]) / Table[[#This Row],[price]]</f>
        <v>1.4437009245832135E-2</v>
      </c>
    </row>
    <row r="1050" spans="1:6" hidden="1" x14ac:dyDescent="0.2">
      <c r="A1050" t="s">
        <v>506</v>
      </c>
      <c r="B1050" t="s">
        <v>56</v>
      </c>
      <c r="C1050">
        <v>32.800929364219513</v>
      </c>
      <c r="D1050">
        <v>3812.780029296875</v>
      </c>
      <c r="E1050">
        <v>3712.22998046875</v>
      </c>
      <c r="F1050">
        <f>(Table[[#This Row],[price_lag]] - Table[[#This Row],[price]]) / Table[[#This Row],[price]]</f>
        <v>-2.6371846278965036E-2</v>
      </c>
    </row>
    <row r="1051" spans="1:6" hidden="1" x14ac:dyDescent="0.2">
      <c r="A1051" t="s">
        <v>506</v>
      </c>
      <c r="B1051" t="s">
        <v>57</v>
      </c>
      <c r="C1051">
        <v>31.455407659691499</v>
      </c>
      <c r="D1051">
        <v>208.86390686035159</v>
      </c>
      <c r="E1051">
        <v>199.75254821777341</v>
      </c>
      <c r="F1051">
        <f>(Table[[#This Row],[price_lag]] - Table[[#This Row],[price]]) / Table[[#This Row],[price]]</f>
        <v>-4.3623423403020625E-2</v>
      </c>
    </row>
    <row r="1052" spans="1:6" hidden="1" x14ac:dyDescent="0.2">
      <c r="A1052" t="s">
        <v>506</v>
      </c>
      <c r="B1052" t="s">
        <v>58</v>
      </c>
      <c r="C1052">
        <v>20.67120613343759</v>
      </c>
      <c r="D1052">
        <v>175.09495544433591</v>
      </c>
      <c r="E1052">
        <v>173.54338073730469</v>
      </c>
      <c r="F1052">
        <f>(Table[[#This Row],[price_lag]] - Table[[#This Row],[price]]) / Table[[#This Row],[price]]</f>
        <v>-8.8613330012495967E-3</v>
      </c>
    </row>
    <row r="1053" spans="1:6" hidden="1" x14ac:dyDescent="0.2">
      <c r="A1053" t="s">
        <v>506</v>
      </c>
      <c r="B1053" t="s">
        <v>59</v>
      </c>
      <c r="C1053">
        <v>115.3399149576823</v>
      </c>
      <c r="D1053">
        <v>525.95001220703125</v>
      </c>
      <c r="E1053">
        <v>827.94000244140625</v>
      </c>
      <c r="F1053">
        <f>(Table[[#This Row],[price_lag]] - Table[[#This Row],[price]]) / Table[[#This Row],[price]]</f>
        <v>0.57418002324430362</v>
      </c>
    </row>
    <row r="1054" spans="1:6" hidden="1" x14ac:dyDescent="0.2">
      <c r="A1054" t="s">
        <v>506</v>
      </c>
      <c r="B1054" t="s">
        <v>60</v>
      </c>
      <c r="C1054">
        <v>26.365791879049159</v>
      </c>
      <c r="D1054">
        <v>43.239898681640618</v>
      </c>
      <c r="E1054">
        <v>37.958099365234382</v>
      </c>
      <c r="F1054">
        <f>(Table[[#This Row],[price_lag]] - Table[[#This Row],[price]]) / Table[[#This Row],[price]]</f>
        <v>-0.12215105671949351</v>
      </c>
    </row>
    <row r="1055" spans="1:6" hidden="1" x14ac:dyDescent="0.2">
      <c r="A1055" t="s">
        <v>506</v>
      </c>
      <c r="B1055" t="s">
        <v>61</v>
      </c>
      <c r="C1055">
        <v>20.42454916333395</v>
      </c>
      <c r="D1055">
        <v>51.469863891601562</v>
      </c>
      <c r="E1055">
        <v>55.651264190673828</v>
      </c>
      <c r="F1055">
        <f>(Table[[#This Row],[price_lag]] - Table[[#This Row],[price]]) / Table[[#This Row],[price]]</f>
        <v>8.1239777666374455E-2</v>
      </c>
    </row>
    <row r="1056" spans="1:6" hidden="1" x14ac:dyDescent="0.2">
      <c r="A1056" t="s">
        <v>506</v>
      </c>
      <c r="B1056" t="s">
        <v>62</v>
      </c>
      <c r="C1056">
        <v>11.275483225728131</v>
      </c>
      <c r="D1056">
        <v>41.042758941650391</v>
      </c>
      <c r="E1056">
        <v>46.814968109130859</v>
      </c>
      <c r="F1056">
        <f>(Table[[#This Row],[price_lag]] - Table[[#This Row],[price]]) / Table[[#This Row],[price]]</f>
        <v>0.14063891698135339</v>
      </c>
    </row>
    <row r="1057" spans="1:6" hidden="1" x14ac:dyDescent="0.2">
      <c r="A1057" t="s">
        <v>506</v>
      </c>
      <c r="B1057" t="s">
        <v>63</v>
      </c>
      <c r="C1057">
        <v>33.785411834716797</v>
      </c>
      <c r="D1057">
        <v>33.785411834716797</v>
      </c>
      <c r="E1057">
        <v>30.053133010864261</v>
      </c>
      <c r="F1057">
        <f>(Table[[#This Row],[price_lag]] - Table[[#This Row],[price]]) / Table[[#This Row],[price]]</f>
        <v>-0.11047012959650729</v>
      </c>
    </row>
    <row r="1058" spans="1:6" hidden="1" x14ac:dyDescent="0.2">
      <c r="A1058" t="s">
        <v>506</v>
      </c>
      <c r="B1058" t="s">
        <v>64</v>
      </c>
      <c r="C1058">
        <v>52.62379512608608</v>
      </c>
      <c r="D1058">
        <v>225.22984313964841</v>
      </c>
      <c r="E1058">
        <v>170.3914489746094</v>
      </c>
      <c r="F1058">
        <f>(Table[[#This Row],[price_lag]] - Table[[#This Row],[price]]) / Table[[#This Row],[price]]</f>
        <v>-0.24347747794255561</v>
      </c>
    </row>
    <row r="1059" spans="1:6" hidden="1" x14ac:dyDescent="0.2">
      <c r="A1059" t="s">
        <v>506</v>
      </c>
      <c r="B1059" t="s">
        <v>65</v>
      </c>
      <c r="C1059">
        <v>62.411701249059419</v>
      </c>
      <c r="D1059">
        <v>532.58001708984375</v>
      </c>
      <c r="E1059">
        <v>485.76998901367188</v>
      </c>
      <c r="F1059">
        <f>(Table[[#This Row],[price_lag]] - Table[[#This Row],[price]]) / Table[[#This Row],[price]]</f>
        <v>-8.7892948616348943E-2</v>
      </c>
    </row>
    <row r="1060" spans="1:6" hidden="1" x14ac:dyDescent="0.2">
      <c r="A1060" t="s">
        <v>506</v>
      </c>
      <c r="B1060" t="s">
        <v>66</v>
      </c>
      <c r="C1060">
        <v>18.616443433259661</v>
      </c>
      <c r="D1060">
        <v>70.742485046386719</v>
      </c>
      <c r="E1060">
        <v>65.410430908203125</v>
      </c>
      <c r="F1060">
        <f>(Table[[#This Row],[price_lag]] - Table[[#This Row],[price]]) / Table[[#This Row],[price]]</f>
        <v>-7.5372728773767286E-2</v>
      </c>
    </row>
    <row r="1061" spans="1:6" hidden="1" x14ac:dyDescent="0.2">
      <c r="A1061" t="s">
        <v>506</v>
      </c>
      <c r="B1061" t="s">
        <v>67</v>
      </c>
      <c r="C1061">
        <v>104.22939573015481</v>
      </c>
      <c r="D1061">
        <v>58.368461608886719</v>
      </c>
      <c r="E1061">
        <v>51.303997039794922</v>
      </c>
      <c r="F1061">
        <f>(Table[[#This Row],[price_lag]] - Table[[#This Row],[price]]) / Table[[#This Row],[price]]</f>
        <v>-0.12103222141486453</v>
      </c>
    </row>
    <row r="1062" spans="1:6" hidden="1" x14ac:dyDescent="0.2">
      <c r="A1062" t="s">
        <v>506</v>
      </c>
      <c r="B1062" t="s">
        <v>68</v>
      </c>
      <c r="C1062">
        <v>20.733332778468281</v>
      </c>
      <c r="D1062">
        <v>136.8399963378906</v>
      </c>
      <c r="E1062">
        <v>125.5899963378906</v>
      </c>
      <c r="F1062">
        <f>(Table[[#This Row],[price_lag]] - Table[[#This Row],[price]]) / Table[[#This Row],[price]]</f>
        <v>-8.2212805474074016E-2</v>
      </c>
    </row>
    <row r="1063" spans="1:6" hidden="1" x14ac:dyDescent="0.2">
      <c r="A1063" t="s">
        <v>506</v>
      </c>
      <c r="B1063" t="s">
        <v>69</v>
      </c>
      <c r="C1063">
        <v>23.93559449996792</v>
      </c>
      <c r="D1063">
        <v>932.53076171875</v>
      </c>
      <c r="E1063">
        <v>1039.261108398438</v>
      </c>
      <c r="F1063">
        <f>(Table[[#This Row],[price_lag]] - Table[[#This Row],[price]]) / Table[[#This Row],[price]]</f>
        <v>0.11445236024490277</v>
      </c>
    </row>
    <row r="1064" spans="1:6" hidden="1" x14ac:dyDescent="0.2">
      <c r="A1064" t="s">
        <v>506</v>
      </c>
      <c r="B1064" t="s">
        <v>70</v>
      </c>
      <c r="C1064">
        <v>42.734026908874512</v>
      </c>
      <c r="D1064">
        <v>136.74888610839841</v>
      </c>
      <c r="E1064">
        <v>147.3679504394531</v>
      </c>
      <c r="F1064">
        <f>(Table[[#This Row],[price_lag]] - Table[[#This Row],[price]]) / Table[[#This Row],[price]]</f>
        <v>7.7653753776371848E-2</v>
      </c>
    </row>
    <row r="1065" spans="1:6" hidden="1" x14ac:dyDescent="0.2">
      <c r="A1065" t="s">
        <v>506</v>
      </c>
      <c r="B1065" t="s">
        <v>71</v>
      </c>
      <c r="C1065">
        <v>43.814517605689261</v>
      </c>
      <c r="D1065">
        <v>54.330001831054688</v>
      </c>
      <c r="E1065">
        <v>67.930000305175781</v>
      </c>
      <c r="F1065">
        <f>(Table[[#This Row],[price_lag]] - Table[[#This Row],[price]]) / Table[[#This Row],[price]]</f>
        <v>0.25032206912879984</v>
      </c>
    </row>
    <row r="1066" spans="1:6" hidden="1" x14ac:dyDescent="0.2">
      <c r="A1066" t="s">
        <v>506</v>
      </c>
      <c r="B1066" t="s">
        <v>72</v>
      </c>
      <c r="C1066">
        <v>12.915247791218309</v>
      </c>
      <c r="D1066">
        <v>82.140975952148438</v>
      </c>
      <c r="E1066">
        <v>89.78448486328125</v>
      </c>
      <c r="F1066">
        <f>(Table[[#This Row],[price_lag]] - Table[[#This Row],[price]]) / Table[[#This Row],[price]]</f>
        <v>9.3053543892460816E-2</v>
      </c>
    </row>
    <row r="1067" spans="1:6" hidden="1" x14ac:dyDescent="0.2">
      <c r="A1067" t="s">
        <v>506</v>
      </c>
      <c r="B1067" t="s">
        <v>73</v>
      </c>
      <c r="C1067">
        <v>0</v>
      </c>
      <c r="D1067">
        <v>170.55000305175781</v>
      </c>
      <c r="E1067">
        <v>209.5299987792969</v>
      </c>
      <c r="F1067">
        <f>(Table[[#This Row],[price_lag]] - Table[[#This Row],[price]]) / Table[[#This Row],[price]]</f>
        <v>0.2285546469073331</v>
      </c>
    </row>
    <row r="1068" spans="1:6" hidden="1" x14ac:dyDescent="0.2">
      <c r="A1068" t="s">
        <v>506</v>
      </c>
      <c r="B1068" t="s">
        <v>74</v>
      </c>
      <c r="C1068">
        <v>112.9758334489028</v>
      </c>
      <c r="D1068">
        <v>4582.2998046875</v>
      </c>
      <c r="E1068">
        <v>5768.25439453125</v>
      </c>
      <c r="F1068">
        <f>(Table[[#This Row],[price_lag]] - Table[[#This Row],[price]]) / Table[[#This Row],[price]]</f>
        <v>0.25881209008423417</v>
      </c>
    </row>
    <row r="1069" spans="1:6" hidden="1" x14ac:dyDescent="0.2">
      <c r="A1069" t="s">
        <v>506</v>
      </c>
      <c r="B1069" t="s">
        <v>75</v>
      </c>
      <c r="C1069">
        <v>54.82608546381411</v>
      </c>
      <c r="D1069">
        <v>100.879997253418</v>
      </c>
      <c r="E1069">
        <v>107.4100036621094</v>
      </c>
      <c r="F1069">
        <f>(Table[[#This Row],[price_lag]] - Table[[#This Row],[price]]) / Table[[#This Row],[price]]</f>
        <v>6.4730438010298E-2</v>
      </c>
    </row>
    <row r="1070" spans="1:6" hidden="1" x14ac:dyDescent="0.2">
      <c r="A1070" t="s">
        <v>506</v>
      </c>
      <c r="B1070" t="s">
        <v>76</v>
      </c>
      <c r="C1070">
        <v>11.995275355567619</v>
      </c>
      <c r="D1070">
        <v>58.057132720947273</v>
      </c>
      <c r="E1070">
        <v>44.541641235351562</v>
      </c>
      <c r="F1070">
        <f>(Table[[#This Row],[price_lag]] - Table[[#This Row],[price]]) / Table[[#This Row],[price]]</f>
        <v>-0.23279639989384562</v>
      </c>
    </row>
    <row r="1071" spans="1:6" hidden="1" x14ac:dyDescent="0.2">
      <c r="A1071" t="s">
        <v>506</v>
      </c>
      <c r="B1071" t="s">
        <v>77</v>
      </c>
      <c r="C1071">
        <v>39.626828148251477</v>
      </c>
      <c r="D1071">
        <v>166.43267822265619</v>
      </c>
      <c r="E1071">
        <v>274.65301513671881</v>
      </c>
      <c r="F1071">
        <f>(Table[[#This Row],[price_lag]] - Table[[#This Row],[price]]) / Table[[#This Row],[price]]</f>
        <v>0.65023490620804514</v>
      </c>
    </row>
    <row r="1072" spans="1:6" hidden="1" x14ac:dyDescent="0.2">
      <c r="A1072" t="s">
        <v>506</v>
      </c>
      <c r="B1072" t="s">
        <v>78</v>
      </c>
      <c r="C1072">
        <v>28.939631365347601</v>
      </c>
      <c r="D1072">
        <v>239.6201477050781</v>
      </c>
      <c r="E1072">
        <v>241.06303405761719</v>
      </c>
      <c r="F1072">
        <f>(Table[[#This Row],[price_lag]] - Table[[#This Row],[price]]) / Table[[#This Row],[price]]</f>
        <v>6.0215568947690487E-3</v>
      </c>
    </row>
    <row r="1073" spans="1:6" hidden="1" x14ac:dyDescent="0.2">
      <c r="A1073" t="s">
        <v>506</v>
      </c>
      <c r="B1073" t="s">
        <v>79</v>
      </c>
      <c r="C1073">
        <v>26.67600039778085</v>
      </c>
      <c r="D1073">
        <v>123.7766418457031</v>
      </c>
      <c r="E1073">
        <v>110.46327972412109</v>
      </c>
      <c r="F1073">
        <f>(Table[[#This Row],[price_lag]] - Table[[#This Row],[price]]) / Table[[#This Row],[price]]</f>
        <v>-0.10755956796903661</v>
      </c>
    </row>
    <row r="1074" spans="1:6" hidden="1" x14ac:dyDescent="0.2">
      <c r="A1074" t="s">
        <v>506</v>
      </c>
      <c r="B1074" t="s">
        <v>80</v>
      </c>
      <c r="C1074">
        <v>26.72891924458165</v>
      </c>
      <c r="D1074">
        <v>33.14385986328125</v>
      </c>
      <c r="E1074">
        <v>26.492702484130859</v>
      </c>
      <c r="F1074">
        <f>(Table[[#This Row],[price_lag]] - Table[[#This Row],[price]]) / Table[[#This Row],[price]]</f>
        <v>-0.20067540131374198</v>
      </c>
    </row>
    <row r="1075" spans="1:6" hidden="1" x14ac:dyDescent="0.2">
      <c r="A1075" t="s">
        <v>506</v>
      </c>
      <c r="B1075" t="s">
        <v>81</v>
      </c>
      <c r="C1075">
        <v>36.747059541590083</v>
      </c>
      <c r="D1075">
        <v>124.94000244140619</v>
      </c>
      <c r="E1075">
        <v>116.69000244140619</v>
      </c>
      <c r="F1075">
        <f>(Table[[#This Row],[price_lag]] - Table[[#This Row],[price]]) / Table[[#This Row],[price]]</f>
        <v>-6.6031693923401746E-2</v>
      </c>
    </row>
    <row r="1076" spans="1:6" hidden="1" x14ac:dyDescent="0.2">
      <c r="A1076" t="s">
        <v>506</v>
      </c>
      <c r="B1076" t="s">
        <v>82</v>
      </c>
      <c r="C1076">
        <v>12.463127990915041</v>
      </c>
      <c r="D1076">
        <v>74.558120727539062</v>
      </c>
      <c r="E1076">
        <v>79.002288818359375</v>
      </c>
      <c r="F1076">
        <f>(Table[[#This Row],[price_lag]] - Table[[#This Row],[price]]) / Table[[#This Row],[price]]</f>
        <v>5.9606761107362488E-2</v>
      </c>
    </row>
    <row r="1077" spans="1:6" hidden="1" x14ac:dyDescent="0.2">
      <c r="A1077" t="s">
        <v>506</v>
      </c>
      <c r="B1077" t="s">
        <v>83</v>
      </c>
      <c r="C1077">
        <v>41.635875212840553</v>
      </c>
      <c r="D1077">
        <v>64.95196533203125</v>
      </c>
      <c r="E1077">
        <v>66.167892456054688</v>
      </c>
      <c r="F1077">
        <f>(Table[[#This Row],[price_lag]] - Table[[#This Row],[price]]) / Table[[#This Row],[price]]</f>
        <v>1.8720405422802497E-2</v>
      </c>
    </row>
    <row r="1078" spans="1:6" hidden="1" x14ac:dyDescent="0.2">
      <c r="A1078" t="s">
        <v>506</v>
      </c>
      <c r="B1078" t="s">
        <v>84</v>
      </c>
      <c r="C1078">
        <v>22.508554799216132</v>
      </c>
      <c r="D1078">
        <v>100.8383255004883</v>
      </c>
      <c r="E1078">
        <v>95.104049682617188</v>
      </c>
      <c r="F1078">
        <f>(Table[[#This Row],[price_lag]] - Table[[#This Row],[price]]) / Table[[#This Row],[price]]</f>
        <v>-5.6866035700318535E-2</v>
      </c>
    </row>
    <row r="1079" spans="1:6" hidden="1" x14ac:dyDescent="0.2">
      <c r="A1079" t="s">
        <v>506</v>
      </c>
      <c r="B1079" t="s">
        <v>85</v>
      </c>
      <c r="C1079">
        <v>62.952970750261059</v>
      </c>
      <c r="D1079">
        <v>254.33000183105469</v>
      </c>
      <c r="E1079">
        <v>308.14999389648438</v>
      </c>
      <c r="F1079">
        <f>(Table[[#This Row],[price_lag]] - Table[[#This Row],[price]]) / Table[[#This Row],[price]]</f>
        <v>0.21161479840345779</v>
      </c>
    </row>
    <row r="1080" spans="1:6" hidden="1" x14ac:dyDescent="0.2">
      <c r="A1080" t="s">
        <v>506</v>
      </c>
      <c r="B1080" t="s">
        <v>86</v>
      </c>
      <c r="C1080">
        <v>0</v>
      </c>
      <c r="D1080">
        <v>25</v>
      </c>
      <c r="E1080">
        <v>28.389999389648441</v>
      </c>
      <c r="F1080">
        <f>(Table[[#This Row],[price_lag]] - Table[[#This Row],[price]]) / Table[[#This Row],[price]]</f>
        <v>0.13559997558593764</v>
      </c>
    </row>
    <row r="1081" spans="1:6" hidden="1" x14ac:dyDescent="0.2">
      <c r="A1081" t="s">
        <v>506</v>
      </c>
      <c r="B1081" t="s">
        <v>87</v>
      </c>
      <c r="C1081">
        <v>82.487493091159394</v>
      </c>
      <c r="D1081">
        <v>118.7819900512695</v>
      </c>
      <c r="E1081">
        <v>110.46803283691411</v>
      </c>
      <c r="F1081">
        <f>(Table[[#This Row],[price_lag]] - Table[[#This Row],[price]]) / Table[[#This Row],[price]]</f>
        <v>-6.9993415759130401E-2</v>
      </c>
    </row>
    <row r="1082" spans="1:6" hidden="1" x14ac:dyDescent="0.2">
      <c r="A1082" t="s">
        <v>506</v>
      </c>
      <c r="B1082" t="s">
        <v>88</v>
      </c>
      <c r="C1082">
        <v>43.174318833784618</v>
      </c>
      <c r="D1082">
        <v>37.993400573730469</v>
      </c>
      <c r="E1082">
        <v>29.462491989135739</v>
      </c>
      <c r="F1082">
        <f>(Table[[#This Row],[price_lag]] - Table[[#This Row],[price]]) / Table[[#This Row],[price]]</f>
        <v>-0.22453658940161311</v>
      </c>
    </row>
    <row r="1083" spans="1:6" hidden="1" x14ac:dyDescent="0.2">
      <c r="A1083" t="s">
        <v>506</v>
      </c>
      <c r="B1083" t="s">
        <v>89</v>
      </c>
      <c r="C1083">
        <v>12.83013669052565</v>
      </c>
      <c r="D1083">
        <v>177.569091796875</v>
      </c>
      <c r="E1083">
        <v>211.378662109375</v>
      </c>
      <c r="F1083">
        <f>(Table[[#This Row],[price_lag]] - Table[[#This Row],[price]]) / Table[[#This Row],[price]]</f>
        <v>0.19040233843835544</v>
      </c>
    </row>
    <row r="1084" spans="1:6" hidden="1" x14ac:dyDescent="0.2">
      <c r="A1084" t="s">
        <v>506</v>
      </c>
      <c r="B1084" t="s">
        <v>90</v>
      </c>
      <c r="C1084">
        <v>16.12106431716991</v>
      </c>
      <c r="D1084">
        <v>136.06178283691409</v>
      </c>
      <c r="E1084">
        <v>166.5285949707031</v>
      </c>
      <c r="F1084">
        <f>(Table[[#This Row],[price_lag]] - Table[[#This Row],[price]]) / Table[[#This Row],[price]]</f>
        <v>0.22391895430553804</v>
      </c>
    </row>
    <row r="1085" spans="1:6" hidden="1" x14ac:dyDescent="0.2">
      <c r="A1085" t="s">
        <v>506</v>
      </c>
      <c r="B1085" t="s">
        <v>91</v>
      </c>
      <c r="C1085">
        <v>33.586206107304022</v>
      </c>
      <c r="D1085">
        <v>77.919998168945312</v>
      </c>
      <c r="E1085">
        <v>67.209999084472656</v>
      </c>
      <c r="F1085">
        <f>(Table[[#This Row],[price_lag]] - Table[[#This Row],[price]]) / Table[[#This Row],[price]]</f>
        <v>-0.1374486567780886</v>
      </c>
    </row>
    <row r="1086" spans="1:6" hidden="1" x14ac:dyDescent="0.2">
      <c r="A1086" t="s">
        <v>506</v>
      </c>
      <c r="B1086" t="s">
        <v>92</v>
      </c>
      <c r="C1086">
        <v>0</v>
      </c>
      <c r="D1086">
        <v>19.530000686645511</v>
      </c>
      <c r="E1086">
        <v>28.120000839233398</v>
      </c>
      <c r="F1086">
        <f>(Table[[#This Row],[price_lag]] - Table[[#This Row],[price]]) / Table[[#This Row],[price]]</f>
        <v>0.43983614186258957</v>
      </c>
    </row>
    <row r="1087" spans="1:6" hidden="1" x14ac:dyDescent="0.2">
      <c r="A1087" t="s">
        <v>506</v>
      </c>
      <c r="B1087" t="s">
        <v>93</v>
      </c>
      <c r="C1087">
        <v>33.245011593433141</v>
      </c>
      <c r="D1087">
        <v>62.500621795654297</v>
      </c>
      <c r="E1087">
        <v>72.385078430175781</v>
      </c>
      <c r="F1087">
        <f>(Table[[#This Row],[price_lag]] - Table[[#This Row],[price]]) / Table[[#This Row],[price]]</f>
        <v>0.15814973276327879</v>
      </c>
    </row>
    <row r="1088" spans="1:6" hidden="1" x14ac:dyDescent="0.2">
      <c r="A1088" t="s">
        <v>506</v>
      </c>
      <c r="B1088" t="s">
        <v>94</v>
      </c>
      <c r="C1088">
        <v>19.27272742393458</v>
      </c>
      <c r="D1088">
        <v>325.32363891601562</v>
      </c>
      <c r="E1088">
        <v>384.78469848632812</v>
      </c>
      <c r="F1088">
        <f>(Table[[#This Row],[price_lag]] - Table[[#This Row],[price]]) / Table[[#This Row],[price]]</f>
        <v>0.18277509672656389</v>
      </c>
    </row>
    <row r="1089" spans="1:6" hidden="1" x14ac:dyDescent="0.2">
      <c r="A1089" t="s">
        <v>506</v>
      </c>
      <c r="B1089" t="s">
        <v>95</v>
      </c>
      <c r="C1089">
        <v>23.70405758128447</v>
      </c>
      <c r="D1089">
        <v>225.6626281738281</v>
      </c>
      <c r="E1089">
        <v>233.21000671386719</v>
      </c>
      <c r="F1089">
        <f>(Table[[#This Row],[price_lag]] - Table[[#This Row],[price]]) / Table[[#This Row],[price]]</f>
        <v>3.3445407425749467E-2</v>
      </c>
    </row>
    <row r="1090" spans="1:6" hidden="1" x14ac:dyDescent="0.2">
      <c r="A1090" t="s">
        <v>506</v>
      </c>
      <c r="B1090" t="s">
        <v>96</v>
      </c>
      <c r="C1090">
        <v>60.546295731155958</v>
      </c>
      <c r="D1090">
        <v>130.7799987792969</v>
      </c>
      <c r="E1090">
        <v>140.1199951171875</v>
      </c>
      <c r="F1090">
        <f>(Table[[#This Row],[price_lag]] - Table[[#This Row],[price]]) / Table[[#This Row],[price]]</f>
        <v>7.1417620622956923E-2</v>
      </c>
    </row>
    <row r="1091" spans="1:6" hidden="1" x14ac:dyDescent="0.2">
      <c r="A1091" t="s">
        <v>506</v>
      </c>
      <c r="B1091" t="s">
        <v>97</v>
      </c>
      <c r="C1091">
        <v>23.295548382927389</v>
      </c>
      <c r="D1091">
        <v>158.40972900390619</v>
      </c>
      <c r="E1091">
        <v>177.1318054199219</v>
      </c>
      <c r="F1091">
        <f>(Table[[#This Row],[price_lag]] - Table[[#This Row],[price]]) / Table[[#This Row],[price]]</f>
        <v>0.11818766772559813</v>
      </c>
    </row>
    <row r="1092" spans="1:6" hidden="1" x14ac:dyDescent="0.2">
      <c r="A1092" t="s">
        <v>506</v>
      </c>
      <c r="B1092" t="s">
        <v>98</v>
      </c>
      <c r="C1092">
        <v>18.688014262431381</v>
      </c>
      <c r="D1092">
        <v>276.58261108398438</v>
      </c>
      <c r="E1092">
        <v>298.79934692382812</v>
      </c>
      <c r="F1092">
        <f>(Table[[#This Row],[price_lag]] - Table[[#This Row],[price]]) / Table[[#This Row],[price]]</f>
        <v>8.0325859072527275E-2</v>
      </c>
    </row>
    <row r="1093" spans="1:6" hidden="1" x14ac:dyDescent="0.2">
      <c r="A1093" t="s">
        <v>506</v>
      </c>
      <c r="B1093" t="s">
        <v>99</v>
      </c>
      <c r="C1093">
        <v>5.7490529436053652</v>
      </c>
      <c r="D1093">
        <v>60.709999084472663</v>
      </c>
      <c r="E1093">
        <v>54.279998779296882</v>
      </c>
      <c r="F1093">
        <f>(Table[[#This Row],[price_lag]] - Table[[#This Row],[price]]) / Table[[#This Row],[price]]</f>
        <v>-0.10591336521400696</v>
      </c>
    </row>
    <row r="1094" spans="1:6" hidden="1" x14ac:dyDescent="0.2">
      <c r="A1094" t="s">
        <v>506</v>
      </c>
      <c r="B1094" t="s">
        <v>100</v>
      </c>
      <c r="C1094">
        <v>19.7818840874566</v>
      </c>
      <c r="D1094">
        <v>35.607391357421882</v>
      </c>
      <c r="E1094">
        <v>36.327163696289062</v>
      </c>
      <c r="F1094">
        <f>(Table[[#This Row],[price_lag]] - Table[[#This Row],[price]]) / Table[[#This Row],[price]]</f>
        <v>2.0214127219885584E-2</v>
      </c>
    </row>
    <row r="1095" spans="1:6" hidden="1" x14ac:dyDescent="0.2">
      <c r="A1095" t="s">
        <v>506</v>
      </c>
      <c r="B1095" t="s">
        <v>101</v>
      </c>
      <c r="C1095">
        <v>10.375937384528079</v>
      </c>
      <c r="D1095">
        <v>76.781936645507812</v>
      </c>
      <c r="E1095">
        <v>90.918258666992188</v>
      </c>
      <c r="F1095">
        <f>(Table[[#This Row],[price_lag]] - Table[[#This Row],[price]]) / Table[[#This Row],[price]]</f>
        <v>0.18410999564585001</v>
      </c>
    </row>
    <row r="1096" spans="1:6" hidden="1" x14ac:dyDescent="0.2">
      <c r="A1096" t="s">
        <v>506</v>
      </c>
      <c r="B1096" t="s">
        <v>102</v>
      </c>
      <c r="C1096">
        <v>75.260002136230469</v>
      </c>
      <c r="D1096">
        <v>150.52000427246091</v>
      </c>
      <c r="E1096">
        <v>151.72999572753909</v>
      </c>
      <c r="F1096">
        <f>(Table[[#This Row],[price_lag]] - Table[[#This Row],[price]]) / Table[[#This Row],[price]]</f>
        <v>8.0387418331980577E-3</v>
      </c>
    </row>
    <row r="1097" spans="1:6" hidden="1" x14ac:dyDescent="0.2">
      <c r="A1097" t="s">
        <v>506</v>
      </c>
      <c r="B1097" t="s">
        <v>103</v>
      </c>
      <c r="C1097">
        <v>19.5933582806828</v>
      </c>
      <c r="D1097">
        <v>77.589698791503906</v>
      </c>
      <c r="E1097">
        <v>90.725753784179688</v>
      </c>
      <c r="F1097">
        <f>(Table[[#This Row],[price_lag]] - Table[[#This Row],[price]]) / Table[[#This Row],[price]]</f>
        <v>0.16930153354473626</v>
      </c>
    </row>
    <row r="1098" spans="1:6" hidden="1" x14ac:dyDescent="0.2">
      <c r="A1098" t="s">
        <v>506</v>
      </c>
      <c r="B1098" t="s">
        <v>104</v>
      </c>
      <c r="C1098">
        <v>10.725552933041239</v>
      </c>
      <c r="D1098">
        <v>368.52999877929688</v>
      </c>
      <c r="E1098">
        <v>408.80999755859381</v>
      </c>
      <c r="F1098">
        <f>(Table[[#This Row],[price_lag]] - Table[[#This Row],[price]]) / Table[[#This Row],[price]]</f>
        <v>0.10929910431367511</v>
      </c>
    </row>
    <row r="1099" spans="1:6" hidden="1" x14ac:dyDescent="0.2">
      <c r="A1099" t="s">
        <v>506</v>
      </c>
      <c r="B1099" t="s">
        <v>105</v>
      </c>
      <c r="C1099">
        <v>20.105952172730099</v>
      </c>
      <c r="D1099">
        <v>161.65185546875</v>
      </c>
      <c r="E1099">
        <v>140.04942321777341</v>
      </c>
      <c r="F1099">
        <f>(Table[[#This Row],[price_lag]] - Table[[#This Row],[price]]) / Table[[#This Row],[price]]</f>
        <v>-0.13363553538148346</v>
      </c>
    </row>
    <row r="1100" spans="1:6" hidden="1" x14ac:dyDescent="0.2">
      <c r="A1100" t="s">
        <v>506</v>
      </c>
      <c r="B1100" t="s">
        <v>106</v>
      </c>
      <c r="C1100">
        <v>43.284481969372983</v>
      </c>
      <c r="D1100">
        <v>50.209999084472663</v>
      </c>
      <c r="E1100">
        <v>56.150001525878913</v>
      </c>
      <c r="F1100">
        <f>(Table[[#This Row],[price_lag]] - Table[[#This Row],[price]]) / Table[[#This Row],[price]]</f>
        <v>0.11830317764819843</v>
      </c>
    </row>
    <row r="1101" spans="1:6" hidden="1" x14ac:dyDescent="0.2">
      <c r="A1101" t="s">
        <v>506</v>
      </c>
      <c r="B1101" t="s">
        <v>107</v>
      </c>
      <c r="C1101">
        <v>22.655191174094469</v>
      </c>
      <c r="D1101">
        <v>300.97738647460938</v>
      </c>
      <c r="E1101">
        <v>289.72000122070312</v>
      </c>
      <c r="F1101">
        <f>(Table[[#This Row],[price_lag]] - Table[[#This Row],[price]]) / Table[[#This Row],[price]]</f>
        <v>-3.7402761003959777E-2</v>
      </c>
    </row>
    <row r="1102" spans="1:6" hidden="1" x14ac:dyDescent="0.2">
      <c r="A1102" t="s">
        <v>506</v>
      </c>
      <c r="B1102" t="s">
        <v>108</v>
      </c>
      <c r="C1102">
        <v>30.28106901380751</v>
      </c>
      <c r="D1102">
        <v>109.011848449707</v>
      </c>
      <c r="E1102">
        <v>95.471084594726562</v>
      </c>
      <c r="F1102">
        <f>(Table[[#This Row],[price_lag]] - Table[[#This Row],[price]]) / Table[[#This Row],[price]]</f>
        <v>-0.12421368913148481</v>
      </c>
    </row>
    <row r="1103" spans="1:6" hidden="1" x14ac:dyDescent="0.2">
      <c r="A1103" t="s">
        <v>506</v>
      </c>
      <c r="B1103" t="s">
        <v>109</v>
      </c>
      <c r="C1103">
        <v>16.59619221921827</v>
      </c>
      <c r="D1103">
        <v>323.95767211914062</v>
      </c>
      <c r="E1103">
        <v>327.08139038085938</v>
      </c>
      <c r="F1103">
        <f>(Table[[#This Row],[price_lag]] - Table[[#This Row],[price]]) / Table[[#This Row],[price]]</f>
        <v>9.6423654401676055E-3</v>
      </c>
    </row>
    <row r="1104" spans="1:6" hidden="1" x14ac:dyDescent="0.2">
      <c r="A1104" t="s">
        <v>506</v>
      </c>
      <c r="B1104" t="s">
        <v>110</v>
      </c>
      <c r="C1104">
        <v>0</v>
      </c>
      <c r="D1104">
        <v>145.2586669921875</v>
      </c>
      <c r="E1104">
        <v>147.3199157714844</v>
      </c>
      <c r="F1104">
        <f>(Table[[#This Row],[price_lag]] - Table[[#This Row],[price]]) / Table[[#This Row],[price]]</f>
        <v>1.4190194788223991E-2</v>
      </c>
    </row>
    <row r="1105" spans="1:6" hidden="1" x14ac:dyDescent="0.2">
      <c r="A1105" t="s">
        <v>506</v>
      </c>
      <c r="B1105" t="s">
        <v>111</v>
      </c>
      <c r="C1105">
        <v>44.791318659196833</v>
      </c>
      <c r="D1105">
        <v>204.2484130859375</v>
      </c>
      <c r="E1105">
        <v>221.88429260253909</v>
      </c>
      <c r="F1105">
        <f>(Table[[#This Row],[price_lag]] - Table[[#This Row],[price]]) / Table[[#This Row],[price]]</f>
        <v>8.6345246213400423E-2</v>
      </c>
    </row>
    <row r="1106" spans="1:6" hidden="1" x14ac:dyDescent="0.2">
      <c r="A1106" t="s">
        <v>506</v>
      </c>
      <c r="B1106" t="s">
        <v>112</v>
      </c>
      <c r="C1106">
        <v>23.907216389973961</v>
      </c>
      <c r="D1106">
        <v>60.246185302734382</v>
      </c>
      <c r="E1106">
        <v>68.186477661132812</v>
      </c>
      <c r="F1106">
        <f>(Table[[#This Row],[price_lag]] - Table[[#This Row],[price]]) / Table[[#This Row],[price]]</f>
        <v>0.1317974294720706</v>
      </c>
    </row>
    <row r="1107" spans="1:6" hidden="1" x14ac:dyDescent="0.2">
      <c r="A1107" t="s">
        <v>506</v>
      </c>
      <c r="B1107" t="s">
        <v>113</v>
      </c>
      <c r="C1107">
        <v>8.710219212727063</v>
      </c>
      <c r="D1107">
        <v>69.551971435546875</v>
      </c>
      <c r="E1107">
        <v>84.0626220703125</v>
      </c>
      <c r="F1107">
        <f>(Table[[#This Row],[price_lag]] - Table[[#This Row],[price]]) / Table[[#This Row],[price]]</f>
        <v>0.20863032830367004</v>
      </c>
    </row>
    <row r="1108" spans="1:6" hidden="1" x14ac:dyDescent="0.2">
      <c r="A1108" t="s">
        <v>506</v>
      </c>
      <c r="B1108" t="s">
        <v>114</v>
      </c>
      <c r="C1108">
        <v>12.75717172867212</v>
      </c>
      <c r="D1108">
        <v>39.802375793457031</v>
      </c>
      <c r="E1108">
        <v>43.966415405273438</v>
      </c>
      <c r="F1108">
        <f>(Table[[#This Row],[price_lag]] - Table[[#This Row],[price]]) / Table[[#This Row],[price]]</f>
        <v>0.10461786586369846</v>
      </c>
    </row>
    <row r="1109" spans="1:6" hidden="1" x14ac:dyDescent="0.2">
      <c r="A1109" t="s">
        <v>506</v>
      </c>
      <c r="B1109" t="s">
        <v>115</v>
      </c>
      <c r="C1109">
        <v>23.678250344383791</v>
      </c>
      <c r="D1109">
        <v>143.0166320800781</v>
      </c>
      <c r="E1109">
        <v>117.62843322753911</v>
      </c>
      <c r="F1109">
        <f>(Table[[#This Row],[price_lag]] - Table[[#This Row],[price]]) / Table[[#This Row],[price]]</f>
        <v>-0.17751920516715561</v>
      </c>
    </row>
    <row r="1110" spans="1:6" hidden="1" x14ac:dyDescent="0.2">
      <c r="A1110" t="s">
        <v>506</v>
      </c>
      <c r="B1110" t="s">
        <v>116</v>
      </c>
      <c r="C1110">
        <v>24.86860035943441</v>
      </c>
      <c r="D1110">
        <v>261.61767578125</v>
      </c>
      <c r="E1110">
        <v>273.0491943359375</v>
      </c>
      <c r="F1110">
        <f>(Table[[#This Row],[price_lag]] - Table[[#This Row],[price]]) / Table[[#This Row],[price]]</f>
        <v>4.3695513005955658E-2</v>
      </c>
    </row>
    <row r="1111" spans="1:6" hidden="1" x14ac:dyDescent="0.2">
      <c r="A1111" t="s">
        <v>506</v>
      </c>
      <c r="B1111" t="s">
        <v>117</v>
      </c>
      <c r="C1111">
        <v>18.186987447499391</v>
      </c>
      <c r="D1111">
        <v>73.449676513671875</v>
      </c>
      <c r="E1111">
        <v>68.259078979492188</v>
      </c>
      <c r="F1111">
        <f>(Table[[#This Row],[price_lag]] - Table[[#This Row],[price]]) / Table[[#This Row],[price]]</f>
        <v>-7.0668759626375116E-2</v>
      </c>
    </row>
    <row r="1112" spans="1:6" hidden="1" x14ac:dyDescent="0.2">
      <c r="A1112" t="s">
        <v>506</v>
      </c>
      <c r="B1112" t="s">
        <v>118</v>
      </c>
      <c r="C1112">
        <v>22.753542119806461</v>
      </c>
      <c r="D1112">
        <v>70.080909729003906</v>
      </c>
      <c r="E1112">
        <v>69.721824645996094</v>
      </c>
      <c r="F1112">
        <f>(Table[[#This Row],[price_lag]] - Table[[#This Row],[price]]) / Table[[#This Row],[price]]</f>
        <v>-5.1238644646075483E-3</v>
      </c>
    </row>
    <row r="1113" spans="1:6" hidden="1" x14ac:dyDescent="0.2">
      <c r="A1113" t="s">
        <v>506</v>
      </c>
      <c r="B1113" t="s">
        <v>119</v>
      </c>
      <c r="C1113">
        <v>14.09343747950312</v>
      </c>
      <c r="D1113">
        <v>75.540824890136719</v>
      </c>
      <c r="E1113">
        <v>77.346061706542969</v>
      </c>
      <c r="F1113">
        <f>(Table[[#This Row],[price_lag]] - Table[[#This Row],[price]]) / Table[[#This Row],[price]]</f>
        <v>2.389749938568592E-2</v>
      </c>
    </row>
    <row r="1114" spans="1:6" hidden="1" x14ac:dyDescent="0.2">
      <c r="A1114" t="s">
        <v>506</v>
      </c>
      <c r="B1114" t="s">
        <v>120</v>
      </c>
      <c r="C1114">
        <v>165.6057651226337</v>
      </c>
      <c r="D1114">
        <v>172.22999572753909</v>
      </c>
      <c r="E1114">
        <v>350.489990234375</v>
      </c>
      <c r="F1114">
        <f>(Table[[#This Row],[price_lag]] - Table[[#This Row],[price]]) / Table[[#This Row],[price]]</f>
        <v>1.0350113158502079</v>
      </c>
    </row>
    <row r="1115" spans="1:6" hidden="1" x14ac:dyDescent="0.2">
      <c r="A1115" t="s">
        <v>506</v>
      </c>
      <c r="B1115" t="s">
        <v>121</v>
      </c>
      <c r="C1115">
        <v>26.896059372845819</v>
      </c>
      <c r="D1115">
        <v>91.446601867675781</v>
      </c>
      <c r="E1115">
        <v>89.210136413574219</v>
      </c>
      <c r="F1115">
        <f>(Table[[#This Row],[price_lag]] - Table[[#This Row],[price]]) / Table[[#This Row],[price]]</f>
        <v>-2.445651788502488E-2</v>
      </c>
    </row>
    <row r="1116" spans="1:6" hidden="1" x14ac:dyDescent="0.2">
      <c r="A1116" t="s">
        <v>506</v>
      </c>
      <c r="B1116" t="s">
        <v>122</v>
      </c>
      <c r="C1116">
        <v>9.2122951356444105</v>
      </c>
      <c r="D1116">
        <v>33.21478271484375</v>
      </c>
      <c r="E1116">
        <v>32.416950225830078</v>
      </c>
      <c r="F1116">
        <f>(Table[[#This Row],[price_lag]] - Table[[#This Row],[price]]) / Table[[#This Row],[price]]</f>
        <v>-2.4020403681795546E-2</v>
      </c>
    </row>
    <row r="1117" spans="1:6" hidden="1" x14ac:dyDescent="0.2">
      <c r="A1117" t="s">
        <v>506</v>
      </c>
      <c r="B1117" t="s">
        <v>123</v>
      </c>
      <c r="C1117">
        <v>21.078019142150879</v>
      </c>
      <c r="D1117">
        <v>25.293622970581051</v>
      </c>
      <c r="E1117">
        <v>19.69553375244141</v>
      </c>
      <c r="F1117">
        <f>(Table[[#This Row],[price_lag]] - Table[[#This Row],[price]]) / Table[[#This Row],[price]]</f>
        <v>-0.22132413472956267</v>
      </c>
    </row>
    <row r="1118" spans="1:6" hidden="1" x14ac:dyDescent="0.2">
      <c r="A1118" t="s">
        <v>506</v>
      </c>
      <c r="B1118" t="s">
        <v>124</v>
      </c>
      <c r="C1118">
        <v>11.472221340299191</v>
      </c>
      <c r="D1118">
        <v>102.33221435546881</v>
      </c>
      <c r="E1118">
        <v>88.187477111816406</v>
      </c>
      <c r="F1118">
        <f>(Table[[#This Row],[price_lag]] - Table[[#This Row],[price]]) / Table[[#This Row],[price]]</f>
        <v>-0.13822369947471466</v>
      </c>
    </row>
    <row r="1119" spans="1:6" hidden="1" x14ac:dyDescent="0.2">
      <c r="A1119" t="s">
        <v>506</v>
      </c>
      <c r="B1119" t="s">
        <v>125</v>
      </c>
      <c r="C1119">
        <v>11.93121851018045</v>
      </c>
      <c r="D1119">
        <v>107.85821533203119</v>
      </c>
      <c r="E1119">
        <v>98.705314636230469</v>
      </c>
      <c r="F1119">
        <f>(Table[[#This Row],[price_lag]] - Table[[#This Row],[price]]) / Table[[#This Row],[price]]</f>
        <v>-8.4860487146244681E-2</v>
      </c>
    </row>
    <row r="1120" spans="1:6" hidden="1" x14ac:dyDescent="0.2">
      <c r="A1120" t="s">
        <v>506</v>
      </c>
      <c r="B1120" t="s">
        <v>126</v>
      </c>
      <c r="C1120">
        <v>0</v>
      </c>
      <c r="D1120">
        <v>180.04042053222659</v>
      </c>
      <c r="E1120">
        <v>160.47676086425781</v>
      </c>
      <c r="F1120">
        <f>(Table[[#This Row],[price_lag]] - Table[[#This Row],[price]]) / Table[[#This Row],[price]]</f>
        <v>-0.1086625970442396</v>
      </c>
    </row>
    <row r="1121" spans="1:6" hidden="1" x14ac:dyDescent="0.2">
      <c r="A1121" t="s">
        <v>506</v>
      </c>
      <c r="B1121" t="s">
        <v>127</v>
      </c>
      <c r="C1121">
        <v>132.15919293855359</v>
      </c>
      <c r="D1121">
        <v>200.88197326660159</v>
      </c>
      <c r="E1121">
        <v>322.00189208984381</v>
      </c>
      <c r="F1121">
        <f>(Table[[#This Row],[price_lag]] - Table[[#This Row],[price]]) / Table[[#This Row],[price]]</f>
        <v>0.60294070619516105</v>
      </c>
    </row>
    <row r="1122" spans="1:6" hidden="1" x14ac:dyDescent="0.2">
      <c r="A1122" t="s">
        <v>506</v>
      </c>
      <c r="B1122" t="s">
        <v>128</v>
      </c>
      <c r="C1122">
        <v>47.965379898394772</v>
      </c>
      <c r="D1122">
        <v>84.349998474121094</v>
      </c>
      <c r="E1122">
        <v>71.160003662109375</v>
      </c>
      <c r="F1122">
        <f>(Table[[#This Row],[price_lag]] - Table[[#This Row],[price]]) / Table[[#This Row],[price]]</f>
        <v>-0.15637219977020461</v>
      </c>
    </row>
    <row r="1123" spans="1:6" hidden="1" x14ac:dyDescent="0.2">
      <c r="A1123" t="s">
        <v>506</v>
      </c>
      <c r="B1123" t="s">
        <v>129</v>
      </c>
      <c r="C1123">
        <v>33.684523900349937</v>
      </c>
      <c r="D1123">
        <v>56.590000152587891</v>
      </c>
      <c r="E1123">
        <v>49.069999694824219</v>
      </c>
      <c r="F1123">
        <f>(Table[[#This Row],[price_lag]] - Table[[#This Row],[price]]) / Table[[#This Row],[price]]</f>
        <v>-0.13288567657690276</v>
      </c>
    </row>
    <row r="1124" spans="1:6" hidden="1" x14ac:dyDescent="0.2">
      <c r="A1124" t="s">
        <v>506</v>
      </c>
      <c r="B1124" t="s">
        <v>130</v>
      </c>
      <c r="C1124">
        <v>62.756066852145729</v>
      </c>
      <c r="D1124">
        <v>45.184368133544922</v>
      </c>
      <c r="E1124">
        <v>52.198307037353523</v>
      </c>
      <c r="F1124">
        <f>(Table[[#This Row],[price_lag]] - Table[[#This Row],[price]]) / Table[[#This Row],[price]]</f>
        <v>0.15522932362534125</v>
      </c>
    </row>
    <row r="1125" spans="1:6" hidden="1" x14ac:dyDescent="0.2">
      <c r="A1125" t="s">
        <v>506</v>
      </c>
      <c r="B1125" t="s">
        <v>131</v>
      </c>
      <c r="C1125">
        <v>25.196531880108608</v>
      </c>
      <c r="D1125">
        <v>348.72000122070312</v>
      </c>
      <c r="E1125">
        <v>331.82000732421881</v>
      </c>
      <c r="F1125">
        <f>(Table[[#This Row],[price_lag]] - Table[[#This Row],[price]]) / Table[[#This Row],[price]]</f>
        <v>-4.8462932545668344E-2</v>
      </c>
    </row>
    <row r="1126" spans="1:6" hidden="1" x14ac:dyDescent="0.2">
      <c r="A1126" t="s">
        <v>506</v>
      </c>
      <c r="B1126" t="s">
        <v>132</v>
      </c>
      <c r="C1126">
        <v>16.436712365401419</v>
      </c>
      <c r="D1126">
        <v>62.459506988525391</v>
      </c>
      <c r="E1126">
        <v>74.150825500488281</v>
      </c>
      <c r="F1126">
        <f>(Table[[#This Row],[price_lag]] - Table[[#This Row],[price]]) / Table[[#This Row],[price]]</f>
        <v>0.18718236943674141</v>
      </c>
    </row>
    <row r="1127" spans="1:6" hidden="1" x14ac:dyDescent="0.2">
      <c r="A1127" t="s">
        <v>506</v>
      </c>
      <c r="B1127" t="s">
        <v>133</v>
      </c>
      <c r="C1127">
        <v>0</v>
      </c>
      <c r="D1127">
        <v>79.230003356933594</v>
      </c>
      <c r="E1127">
        <v>80.400001525878906</v>
      </c>
      <c r="F1127">
        <f>(Table[[#This Row],[price_lag]] - Table[[#This Row],[price]]) / Table[[#This Row],[price]]</f>
        <v>1.4767109925193804E-2</v>
      </c>
    </row>
    <row r="1128" spans="1:6" hidden="1" x14ac:dyDescent="0.2">
      <c r="A1128" t="s">
        <v>506</v>
      </c>
      <c r="B1128" t="s">
        <v>134</v>
      </c>
      <c r="C1128">
        <v>58.431143559533957</v>
      </c>
      <c r="D1128">
        <v>941.9100341796875</v>
      </c>
      <c r="E1128">
        <v>987.173828125</v>
      </c>
      <c r="F1128">
        <f>(Table[[#This Row],[price_lag]] - Table[[#This Row],[price]]) / Table[[#This Row],[price]]</f>
        <v>4.8055326201862668E-2</v>
      </c>
    </row>
    <row r="1129" spans="1:6" hidden="1" x14ac:dyDescent="0.2">
      <c r="A1129" t="s">
        <v>506</v>
      </c>
      <c r="B1129" t="s">
        <v>135</v>
      </c>
      <c r="C1129">
        <v>10.347900671117451</v>
      </c>
      <c r="D1129">
        <v>28.14628982543945</v>
      </c>
      <c r="E1129">
        <v>24.937717437744141</v>
      </c>
      <c r="F1129">
        <f>(Table[[#This Row],[price_lag]] - Table[[#This Row],[price]]) / Table[[#This Row],[price]]</f>
        <v>-0.11399628184014883</v>
      </c>
    </row>
    <row r="1130" spans="1:6" hidden="1" x14ac:dyDescent="0.2">
      <c r="A1130" t="s">
        <v>506</v>
      </c>
      <c r="B1130" t="s">
        <v>136</v>
      </c>
      <c r="C1130">
        <v>0</v>
      </c>
      <c r="D1130">
        <v>352.57998657226562</v>
      </c>
      <c r="E1130">
        <v>509.30999755859381</v>
      </c>
      <c r="F1130">
        <f>(Table[[#This Row],[price_lag]] - Table[[#This Row],[price]]) / Table[[#This Row],[price]]</f>
        <v>0.44452327685991455</v>
      </c>
    </row>
    <row r="1131" spans="1:6" hidden="1" x14ac:dyDescent="0.2">
      <c r="A1131" t="s">
        <v>506</v>
      </c>
      <c r="B1131" t="s">
        <v>137</v>
      </c>
      <c r="C1131">
        <v>0</v>
      </c>
      <c r="D1131">
        <v>100.7815017700195</v>
      </c>
      <c r="E1131">
        <v>100.3980407714844</v>
      </c>
      <c r="F1131">
        <f>(Table[[#This Row],[price_lag]] - Table[[#This Row],[price]]) / Table[[#This Row],[price]]</f>
        <v>-3.8048748212756982E-3</v>
      </c>
    </row>
    <row r="1132" spans="1:6" hidden="1" x14ac:dyDescent="0.2">
      <c r="A1132" t="s">
        <v>506</v>
      </c>
      <c r="B1132" t="s">
        <v>138</v>
      </c>
      <c r="C1132">
        <v>21.143870303045279</v>
      </c>
      <c r="D1132">
        <v>29.08407020568848</v>
      </c>
      <c r="E1132">
        <v>32.38043212890625</v>
      </c>
      <c r="F1132">
        <f>(Table[[#This Row],[price_lag]] - Table[[#This Row],[price]]) / Table[[#This Row],[price]]</f>
        <v>0.11333908561990208</v>
      </c>
    </row>
    <row r="1133" spans="1:6" hidden="1" x14ac:dyDescent="0.2">
      <c r="A1133" t="s">
        <v>506</v>
      </c>
      <c r="B1133" t="s">
        <v>139</v>
      </c>
      <c r="C1133">
        <v>12.886177279515341</v>
      </c>
      <c r="D1133">
        <v>308.7528076171875</v>
      </c>
      <c r="E1133">
        <v>324.43753051757812</v>
      </c>
      <c r="F1133">
        <f>(Table[[#This Row],[price_lag]] - Table[[#This Row],[price]]) / Table[[#This Row],[price]]</f>
        <v>5.0800259992575029E-2</v>
      </c>
    </row>
    <row r="1134" spans="1:6" hidden="1" x14ac:dyDescent="0.2">
      <c r="A1134" t="s">
        <v>506</v>
      </c>
      <c r="B1134" t="s">
        <v>140</v>
      </c>
      <c r="C1134">
        <v>11.57098729559716</v>
      </c>
      <c r="D1134">
        <v>65.260368347167969</v>
      </c>
      <c r="E1134">
        <v>67.130180358886719</v>
      </c>
      <c r="F1134">
        <f>(Table[[#This Row],[price_lag]] - Table[[#This Row],[price]]) / Table[[#This Row],[price]]</f>
        <v>2.8651569996844681E-2</v>
      </c>
    </row>
    <row r="1135" spans="1:6" hidden="1" x14ac:dyDescent="0.2">
      <c r="A1135" t="s">
        <v>506</v>
      </c>
      <c r="B1135" t="s">
        <v>141</v>
      </c>
      <c r="C1135">
        <v>38.351689962516147</v>
      </c>
      <c r="D1135">
        <v>204.03099060058591</v>
      </c>
      <c r="E1135">
        <v>196.91902160644531</v>
      </c>
      <c r="F1135">
        <f>(Table[[#This Row],[price_lag]] - Table[[#This Row],[price]]) / Table[[#This Row],[price]]</f>
        <v>-3.4857297772293294E-2</v>
      </c>
    </row>
    <row r="1136" spans="1:6" hidden="1" x14ac:dyDescent="0.2">
      <c r="A1136" t="s">
        <v>506</v>
      </c>
      <c r="B1136" t="s">
        <v>142</v>
      </c>
      <c r="C1136">
        <v>18.26938131581182</v>
      </c>
      <c r="D1136">
        <v>201.6939697265625</v>
      </c>
      <c r="E1136">
        <v>213.12547302246091</v>
      </c>
      <c r="F1136">
        <f>(Table[[#This Row],[price_lag]] - Table[[#This Row],[price]]) / Table[[#This Row],[price]]</f>
        <v>5.6677466913840575E-2</v>
      </c>
    </row>
    <row r="1137" spans="1:6" hidden="1" x14ac:dyDescent="0.2">
      <c r="A1137" t="s">
        <v>506</v>
      </c>
      <c r="B1137" t="s">
        <v>143</v>
      </c>
      <c r="C1137">
        <v>354.32142530168801</v>
      </c>
      <c r="D1137">
        <v>99.209999084472656</v>
      </c>
      <c r="E1137">
        <v>134.33000183105469</v>
      </c>
      <c r="F1137">
        <f>(Table[[#This Row],[price_lag]] - Table[[#This Row],[price]]) / Table[[#This Row],[price]]</f>
        <v>0.35399660387738735</v>
      </c>
    </row>
    <row r="1138" spans="1:6" hidden="1" x14ac:dyDescent="0.2">
      <c r="A1138" t="s">
        <v>506</v>
      </c>
      <c r="B1138" t="s">
        <v>144</v>
      </c>
      <c r="C1138">
        <v>18.65487819764672</v>
      </c>
      <c r="D1138">
        <v>152.9700012207031</v>
      </c>
      <c r="E1138">
        <v>142.44999694824219</v>
      </c>
      <c r="F1138">
        <f>(Table[[#This Row],[price_lag]] - Table[[#This Row],[price]]) / Table[[#This Row],[price]]</f>
        <v>-6.8771681954050493E-2</v>
      </c>
    </row>
    <row r="1139" spans="1:6" hidden="1" x14ac:dyDescent="0.2">
      <c r="A1139" t="s">
        <v>506</v>
      </c>
      <c r="B1139" t="s">
        <v>145</v>
      </c>
      <c r="C1139">
        <v>162.0277828640408</v>
      </c>
      <c r="D1139">
        <v>58.330001831054688</v>
      </c>
      <c r="E1139">
        <v>55.389999389648438</v>
      </c>
      <c r="F1139">
        <f>(Table[[#This Row],[price_lag]] - Table[[#This Row],[price]]) / Table[[#This Row],[price]]</f>
        <v>-5.0402920437437791E-2</v>
      </c>
    </row>
    <row r="1140" spans="1:6" hidden="1" x14ac:dyDescent="0.2">
      <c r="A1140" t="s">
        <v>506</v>
      </c>
      <c r="B1140" t="s">
        <v>146</v>
      </c>
      <c r="C1140">
        <v>27.952499389648441</v>
      </c>
      <c r="D1140">
        <v>111.80999755859381</v>
      </c>
      <c r="E1140">
        <v>103.0699996948242</v>
      </c>
      <c r="F1140">
        <f>(Table[[#This Row],[price_lag]] - Table[[#This Row],[price]]) / Table[[#This Row],[price]]</f>
        <v>-7.8168303860210925E-2</v>
      </c>
    </row>
    <row r="1141" spans="1:6" hidden="1" x14ac:dyDescent="0.2">
      <c r="A1141" t="s">
        <v>506</v>
      </c>
      <c r="B1141" t="s">
        <v>147</v>
      </c>
      <c r="C1141">
        <v>17.467417322603382</v>
      </c>
      <c r="D1141">
        <v>464.63330078125</v>
      </c>
      <c r="E1141">
        <v>504.97354125976562</v>
      </c>
      <c r="F1141">
        <f>(Table[[#This Row],[price_lag]] - Table[[#This Row],[price]]) / Table[[#This Row],[price]]</f>
        <v>8.6821672942266934E-2</v>
      </c>
    </row>
    <row r="1142" spans="1:6" hidden="1" x14ac:dyDescent="0.2">
      <c r="A1142" t="s">
        <v>506</v>
      </c>
      <c r="B1142" t="s">
        <v>148</v>
      </c>
      <c r="C1142">
        <v>15.845476645053219</v>
      </c>
      <c r="D1142">
        <v>89.488723754882812</v>
      </c>
      <c r="E1142">
        <v>121.1374130249023</v>
      </c>
      <c r="F1142">
        <f>(Table[[#This Row],[price_lag]] - Table[[#This Row],[price]]) / Table[[#This Row],[price]]</f>
        <v>0.35366119821652531</v>
      </c>
    </row>
    <row r="1143" spans="1:6" hidden="1" x14ac:dyDescent="0.2">
      <c r="A1143" t="s">
        <v>506</v>
      </c>
      <c r="B1143" t="s">
        <v>149</v>
      </c>
      <c r="C1143">
        <v>29.180838610674879</v>
      </c>
      <c r="D1143">
        <v>43.187641143798828</v>
      </c>
      <c r="E1143">
        <v>48.858177185058587</v>
      </c>
      <c r="F1143">
        <f>(Table[[#This Row],[price_lag]] - Table[[#This Row],[price]]) / Table[[#This Row],[price]]</f>
        <v>0.13129997126675608</v>
      </c>
    </row>
    <row r="1144" spans="1:6" hidden="1" x14ac:dyDescent="0.2">
      <c r="A1144" t="s">
        <v>506</v>
      </c>
      <c r="B1144" t="s">
        <v>150</v>
      </c>
      <c r="C1144">
        <v>11.898139854530241</v>
      </c>
      <c r="D1144">
        <v>36.646270751953118</v>
      </c>
      <c r="E1144">
        <v>31.388360977172852</v>
      </c>
      <c r="F1144">
        <f>(Table[[#This Row],[price_lag]] - Table[[#This Row],[price]]) / Table[[#This Row],[price]]</f>
        <v>-0.14347734890596031</v>
      </c>
    </row>
    <row r="1145" spans="1:6" hidden="1" x14ac:dyDescent="0.2">
      <c r="A1145" t="s">
        <v>506</v>
      </c>
      <c r="B1145" t="s">
        <v>151</v>
      </c>
      <c r="C1145">
        <v>63.231482329191977</v>
      </c>
      <c r="D1145">
        <v>68.290000915527344</v>
      </c>
      <c r="E1145">
        <v>87.290000915527344</v>
      </c>
      <c r="F1145">
        <f>(Table[[#This Row],[price_lag]] - Table[[#This Row],[price]]) / Table[[#This Row],[price]]</f>
        <v>0.27822521226061225</v>
      </c>
    </row>
    <row r="1146" spans="1:6" hidden="1" x14ac:dyDescent="0.2">
      <c r="A1146" t="s">
        <v>506</v>
      </c>
      <c r="B1146" t="s">
        <v>152</v>
      </c>
      <c r="C1146">
        <v>8.1036885579427089</v>
      </c>
      <c r="D1146">
        <v>156.5632629394531</v>
      </c>
      <c r="E1146">
        <v>135.4851379394531</v>
      </c>
      <c r="F1146">
        <f>(Table[[#This Row],[price_lag]] - Table[[#This Row],[price]]) / Table[[#This Row],[price]]</f>
        <v>-0.13463008246162725</v>
      </c>
    </row>
    <row r="1147" spans="1:6" hidden="1" x14ac:dyDescent="0.2">
      <c r="A1147" t="s">
        <v>506</v>
      </c>
      <c r="B1147" t="s">
        <v>153</v>
      </c>
      <c r="C1147">
        <v>116.81419372558589</v>
      </c>
      <c r="D1147">
        <v>140.1770324707031</v>
      </c>
      <c r="E1147">
        <v>171.7295227050781</v>
      </c>
      <c r="F1147">
        <f>(Table[[#This Row],[price_lag]] - Table[[#This Row],[price]]) / Table[[#This Row],[price]]</f>
        <v>0.22509029958933857</v>
      </c>
    </row>
    <row r="1148" spans="1:6" hidden="1" x14ac:dyDescent="0.2">
      <c r="A1148" t="s">
        <v>506</v>
      </c>
      <c r="B1148" t="s">
        <v>154</v>
      </c>
      <c r="C1148">
        <v>12.083351478148041</v>
      </c>
      <c r="D1148">
        <v>86.033462524414062</v>
      </c>
      <c r="E1148">
        <v>112.63514709472661</v>
      </c>
      <c r="F1148">
        <f>(Table[[#This Row],[price_lag]] - Table[[#This Row],[price]]) / Table[[#This Row],[price]]</f>
        <v>0.3092016035361087</v>
      </c>
    </row>
    <row r="1149" spans="1:6" hidden="1" x14ac:dyDescent="0.2">
      <c r="A1149" t="s">
        <v>506</v>
      </c>
      <c r="B1149" t="s">
        <v>155</v>
      </c>
      <c r="C1149">
        <v>11.656832250749099</v>
      </c>
      <c r="D1149">
        <v>75.069999694824219</v>
      </c>
      <c r="E1149">
        <v>99.040000915527344</v>
      </c>
      <c r="F1149">
        <f>(Table[[#This Row],[price_lag]] - Table[[#This Row],[price]]) / Table[[#This Row],[price]]</f>
        <v>0.31930200237306999</v>
      </c>
    </row>
    <row r="1150" spans="1:6" hidden="1" x14ac:dyDescent="0.2">
      <c r="A1150" t="s">
        <v>506</v>
      </c>
      <c r="B1150" t="s">
        <v>156</v>
      </c>
      <c r="C1150">
        <v>17.878287773789712</v>
      </c>
      <c r="D1150">
        <v>54.158840179443359</v>
      </c>
      <c r="E1150">
        <v>55.254020690917969</v>
      </c>
      <c r="F1150">
        <f>(Table[[#This Row],[price_lag]] - Table[[#This Row],[price]]) / Table[[#This Row],[price]]</f>
        <v>2.0221638939201255E-2</v>
      </c>
    </row>
    <row r="1151" spans="1:6" hidden="1" x14ac:dyDescent="0.2">
      <c r="A1151" t="s">
        <v>506</v>
      </c>
      <c r="B1151" t="s">
        <v>157</v>
      </c>
      <c r="C1151">
        <v>25.966196184056511</v>
      </c>
      <c r="D1151">
        <v>454.0782470703125</v>
      </c>
      <c r="E1151">
        <v>447.0565185546875</v>
      </c>
      <c r="F1151">
        <f>(Table[[#This Row],[price_lag]] - Table[[#This Row],[price]]) / Table[[#This Row],[price]]</f>
        <v>-1.5463697195205453E-2</v>
      </c>
    </row>
    <row r="1152" spans="1:6" hidden="1" x14ac:dyDescent="0.2">
      <c r="A1152" t="s">
        <v>506</v>
      </c>
      <c r="B1152" t="s">
        <v>158</v>
      </c>
      <c r="C1152">
        <v>99.331524061120064</v>
      </c>
      <c r="D1152">
        <v>182.77000427246091</v>
      </c>
      <c r="E1152">
        <v>246.50999450683591</v>
      </c>
      <c r="F1152">
        <f>(Table[[#This Row],[price_lag]] - Table[[#This Row],[price]]) / Table[[#This Row],[price]]</f>
        <v>0.34874426188312507</v>
      </c>
    </row>
    <row r="1153" spans="1:6" hidden="1" x14ac:dyDescent="0.2">
      <c r="A1153" t="s">
        <v>506</v>
      </c>
      <c r="B1153" t="s">
        <v>159</v>
      </c>
      <c r="C1153">
        <v>25.920683997017999</v>
      </c>
      <c r="D1153">
        <v>174.18699645996091</v>
      </c>
      <c r="E1153">
        <v>182.1950378417969</v>
      </c>
      <c r="F1153">
        <f>(Table[[#This Row],[price_lag]] - Table[[#This Row],[price]]) / Table[[#This Row],[price]]</f>
        <v>4.5973818623577592E-2</v>
      </c>
    </row>
    <row r="1154" spans="1:6" hidden="1" x14ac:dyDescent="0.2">
      <c r="A1154" t="s">
        <v>506</v>
      </c>
      <c r="B1154" t="s">
        <v>160</v>
      </c>
      <c r="C1154">
        <v>0</v>
      </c>
      <c r="D1154">
        <v>33.093978881835938</v>
      </c>
      <c r="E1154">
        <v>25.7206916809082</v>
      </c>
      <c r="F1154">
        <f>(Table[[#This Row],[price_lag]] - Table[[#This Row],[price]]) / Table[[#This Row],[price]]</f>
        <v>-0.22279845005203236</v>
      </c>
    </row>
    <row r="1155" spans="1:6" hidden="1" x14ac:dyDescent="0.2">
      <c r="A1155" t="s">
        <v>506</v>
      </c>
      <c r="B1155" t="s">
        <v>161</v>
      </c>
      <c r="C1155">
        <v>12.162783707430931</v>
      </c>
      <c r="D1155">
        <v>126.0064392089844</v>
      </c>
      <c r="E1155">
        <v>128.18902587890619</v>
      </c>
      <c r="F1155">
        <f>(Table[[#This Row],[price_lag]] - Table[[#This Row],[price]]) / Table[[#This Row],[price]]</f>
        <v>1.7321231229317755E-2</v>
      </c>
    </row>
    <row r="1156" spans="1:6" hidden="1" x14ac:dyDescent="0.2">
      <c r="A1156" t="s">
        <v>506</v>
      </c>
      <c r="B1156" t="s">
        <v>162</v>
      </c>
      <c r="C1156">
        <v>15.752535668488971</v>
      </c>
      <c r="D1156">
        <v>134.8417053222656</v>
      </c>
      <c r="E1156">
        <v>130.2254943847656</v>
      </c>
      <c r="F1156">
        <f>(Table[[#This Row],[price_lag]] - Table[[#This Row],[price]]) / Table[[#This Row],[price]]</f>
        <v>-3.4234296625568948E-2</v>
      </c>
    </row>
    <row r="1157" spans="1:6" hidden="1" x14ac:dyDescent="0.2">
      <c r="A1157" t="s">
        <v>506</v>
      </c>
      <c r="B1157" t="s">
        <v>163</v>
      </c>
      <c r="C1157">
        <v>16.875291954387318</v>
      </c>
      <c r="D1157">
        <v>118.8020553588867</v>
      </c>
      <c r="E1157">
        <v>115.9805374145508</v>
      </c>
      <c r="F1157">
        <f>(Table[[#This Row],[price_lag]] - Table[[#This Row],[price]]) / Table[[#This Row],[price]]</f>
        <v>-2.3749740152326851E-2</v>
      </c>
    </row>
    <row r="1158" spans="1:6" hidden="1" x14ac:dyDescent="0.2">
      <c r="A1158" t="s">
        <v>506</v>
      </c>
      <c r="B1158" t="s">
        <v>164</v>
      </c>
      <c r="C1158">
        <v>0</v>
      </c>
      <c r="D1158">
        <v>30.740409851074219</v>
      </c>
      <c r="E1158">
        <v>28.402412414550781</v>
      </c>
      <c r="F1158">
        <f>(Table[[#This Row],[price_lag]] - Table[[#This Row],[price]]) / Table[[#This Row],[price]]</f>
        <v>-7.6056156955946919E-2</v>
      </c>
    </row>
    <row r="1159" spans="1:6" hidden="1" x14ac:dyDescent="0.2">
      <c r="A1159" t="s">
        <v>506</v>
      </c>
      <c r="B1159" t="s">
        <v>165</v>
      </c>
      <c r="C1159">
        <v>13.448658472375021</v>
      </c>
      <c r="D1159">
        <v>84.995521545410156</v>
      </c>
      <c r="E1159">
        <v>72.786155700683594</v>
      </c>
      <c r="F1159">
        <f>(Table[[#This Row],[price_lag]] - Table[[#This Row],[price]]) / Table[[#This Row],[price]]</f>
        <v>-0.14364716661222582</v>
      </c>
    </row>
    <row r="1160" spans="1:6" hidden="1" x14ac:dyDescent="0.2">
      <c r="A1160" t="s">
        <v>506</v>
      </c>
      <c r="B1160" t="s">
        <v>166</v>
      </c>
      <c r="C1160">
        <v>27.449200017665461</v>
      </c>
      <c r="D1160">
        <v>270.10012817382812</v>
      </c>
      <c r="E1160">
        <v>355.953369140625</v>
      </c>
      <c r="F1160">
        <f>(Table[[#This Row],[price_lag]] - Table[[#This Row],[price]]) / Table[[#This Row],[price]]</f>
        <v>0.31785709080280172</v>
      </c>
    </row>
    <row r="1161" spans="1:6" hidden="1" x14ac:dyDescent="0.2">
      <c r="A1161" t="s">
        <v>506</v>
      </c>
      <c r="B1161" t="s">
        <v>167</v>
      </c>
      <c r="C1161">
        <v>15.51221035144947</v>
      </c>
      <c r="D1161">
        <v>67.012748718261719</v>
      </c>
      <c r="E1161">
        <v>73.966354370117188</v>
      </c>
      <c r="F1161">
        <f>(Table[[#This Row],[price_lag]] - Table[[#This Row],[price]]) / Table[[#This Row],[price]]</f>
        <v>0.10376541456447576</v>
      </c>
    </row>
    <row r="1162" spans="1:6" hidden="1" x14ac:dyDescent="0.2">
      <c r="A1162" t="s">
        <v>506</v>
      </c>
      <c r="B1162" t="s">
        <v>168</v>
      </c>
      <c r="C1162">
        <v>44.293661520514689</v>
      </c>
      <c r="D1162">
        <v>251.58799743652341</v>
      </c>
      <c r="E1162">
        <v>268.04135131835938</v>
      </c>
      <c r="F1162">
        <f>(Table[[#This Row],[price_lag]] - Table[[#This Row],[price]]) / Table[[#This Row],[price]]</f>
        <v>6.5398008050790296E-2</v>
      </c>
    </row>
    <row r="1163" spans="1:6" hidden="1" x14ac:dyDescent="0.2">
      <c r="A1163" t="s">
        <v>506</v>
      </c>
      <c r="B1163" t="s">
        <v>169</v>
      </c>
      <c r="C1163">
        <v>3.7155110458905831</v>
      </c>
      <c r="D1163">
        <v>55.4354248046875</v>
      </c>
      <c r="E1163">
        <v>49.293819427490227</v>
      </c>
      <c r="F1163">
        <f>(Table[[#This Row],[price_lag]] - Table[[#This Row],[price]]) / Table[[#This Row],[price]]</f>
        <v>-0.11078846060683478</v>
      </c>
    </row>
    <row r="1164" spans="1:6" hidden="1" x14ac:dyDescent="0.2">
      <c r="A1164" t="s">
        <v>506</v>
      </c>
      <c r="B1164" t="s">
        <v>170</v>
      </c>
      <c r="C1164">
        <v>29.70491940857934</v>
      </c>
      <c r="D1164">
        <v>72.480003356933594</v>
      </c>
      <c r="E1164">
        <v>78.209999084472656</v>
      </c>
      <c r="F1164">
        <f>(Table[[#This Row],[price_lag]] - Table[[#This Row],[price]]) / Table[[#This Row],[price]]</f>
        <v>7.9056228782457952E-2</v>
      </c>
    </row>
    <row r="1165" spans="1:6" hidden="1" x14ac:dyDescent="0.2">
      <c r="A1165" t="s">
        <v>506</v>
      </c>
      <c r="B1165" t="s">
        <v>171</v>
      </c>
      <c r="C1165">
        <v>36.373512191001822</v>
      </c>
      <c r="D1165">
        <v>144.03910827636719</v>
      </c>
      <c r="E1165">
        <v>159.37469482421881</v>
      </c>
      <c r="F1165">
        <f>(Table[[#This Row],[price_lag]] - Table[[#This Row],[price]]) / Table[[#This Row],[price]]</f>
        <v>0.10646821360784391</v>
      </c>
    </row>
    <row r="1166" spans="1:6" hidden="1" x14ac:dyDescent="0.2">
      <c r="A1166" t="s">
        <v>506</v>
      </c>
      <c r="B1166" t="s">
        <v>172</v>
      </c>
      <c r="C1166">
        <v>11.072559770614079</v>
      </c>
      <c r="D1166">
        <v>428.49234008789062</v>
      </c>
      <c r="E1166">
        <v>384.865478515625</v>
      </c>
      <c r="F1166">
        <f>(Table[[#This Row],[price_lag]] - Table[[#This Row],[price]]) / Table[[#This Row],[price]]</f>
        <v>-0.10181479921745405</v>
      </c>
    </row>
    <row r="1167" spans="1:6" hidden="1" x14ac:dyDescent="0.2">
      <c r="A1167" t="s">
        <v>506</v>
      </c>
      <c r="B1167" t="s">
        <v>173</v>
      </c>
      <c r="C1167">
        <v>31.389797327343491</v>
      </c>
      <c r="D1167">
        <v>108.259895324707</v>
      </c>
      <c r="E1167">
        <v>132.23231506347659</v>
      </c>
      <c r="F1167">
        <f>(Table[[#This Row],[price_lag]] - Table[[#This Row],[price]]) / Table[[#This Row],[price]]</f>
        <v>0.22143398224123922</v>
      </c>
    </row>
    <row r="1168" spans="1:6" hidden="1" x14ac:dyDescent="0.2">
      <c r="A1168" t="s">
        <v>506</v>
      </c>
      <c r="B1168" t="s">
        <v>174</v>
      </c>
      <c r="C1168">
        <v>67.445651344631031</v>
      </c>
      <c r="D1168">
        <v>62.049999237060547</v>
      </c>
      <c r="E1168">
        <v>39.650001525878913</v>
      </c>
      <c r="F1168">
        <f>(Table[[#This Row],[price_lag]] - Table[[#This Row],[price]]) / Table[[#This Row],[price]]</f>
        <v>-0.36099916175023589</v>
      </c>
    </row>
    <row r="1169" spans="1:6" hidden="1" x14ac:dyDescent="0.2">
      <c r="A1169" t="s">
        <v>506</v>
      </c>
      <c r="B1169" t="s">
        <v>175</v>
      </c>
      <c r="C1169">
        <v>24.927230108351939</v>
      </c>
      <c r="D1169">
        <v>83.7554931640625</v>
      </c>
      <c r="E1169">
        <v>82.023902893066406</v>
      </c>
      <c r="F1169">
        <f>(Table[[#This Row],[price_lag]] - Table[[#This Row],[price]]) / Table[[#This Row],[price]]</f>
        <v>-2.067434869739479E-2</v>
      </c>
    </row>
    <row r="1170" spans="1:6" hidden="1" x14ac:dyDescent="0.2">
      <c r="A1170" t="s">
        <v>506</v>
      </c>
      <c r="B1170" t="s">
        <v>176</v>
      </c>
      <c r="C1170">
        <v>11.62183589505074</v>
      </c>
      <c r="D1170">
        <v>123.6563339233398</v>
      </c>
      <c r="E1170">
        <v>116.3906173706055</v>
      </c>
      <c r="F1170">
        <f>(Table[[#This Row],[price_lag]] - Table[[#This Row],[price]]) / Table[[#This Row],[price]]</f>
        <v>-5.8757334316887101E-2</v>
      </c>
    </row>
    <row r="1171" spans="1:6" hidden="1" x14ac:dyDescent="0.2">
      <c r="A1171" t="s">
        <v>506</v>
      </c>
      <c r="B1171" t="s">
        <v>177</v>
      </c>
      <c r="C1171">
        <v>32.720929522847022</v>
      </c>
      <c r="D1171">
        <v>168.8399963378906</v>
      </c>
      <c r="E1171">
        <v>176.82000732421881</v>
      </c>
      <c r="F1171">
        <f>(Table[[#This Row],[price_lag]] - Table[[#This Row],[price]]) / Table[[#This Row],[price]]</f>
        <v>4.7263747686645492E-2</v>
      </c>
    </row>
    <row r="1172" spans="1:6" hidden="1" x14ac:dyDescent="0.2">
      <c r="A1172" t="s">
        <v>506</v>
      </c>
      <c r="B1172" t="s">
        <v>178</v>
      </c>
      <c r="C1172">
        <v>33.095200061798103</v>
      </c>
      <c r="D1172">
        <v>52.952320098876953</v>
      </c>
      <c r="E1172">
        <v>57.969959259033203</v>
      </c>
      <c r="F1172">
        <f>(Table[[#This Row],[price_lag]] - Table[[#This Row],[price]]) / Table[[#This Row],[price]]</f>
        <v>9.4757682964351692E-2</v>
      </c>
    </row>
    <row r="1173" spans="1:6" hidden="1" x14ac:dyDescent="0.2">
      <c r="A1173" t="s">
        <v>506</v>
      </c>
      <c r="B1173" t="s">
        <v>179</v>
      </c>
      <c r="C1173">
        <v>56.550615970219397</v>
      </c>
      <c r="D1173">
        <v>242.03663635253909</v>
      </c>
      <c r="E1173">
        <v>258.2379150390625</v>
      </c>
      <c r="F1173">
        <f>(Table[[#This Row],[price_lag]] - Table[[#This Row],[price]]) / Table[[#This Row],[price]]</f>
        <v>6.6937298958846023E-2</v>
      </c>
    </row>
    <row r="1174" spans="1:6" hidden="1" x14ac:dyDescent="0.2">
      <c r="A1174" t="s">
        <v>506</v>
      </c>
      <c r="B1174" t="s">
        <v>180</v>
      </c>
      <c r="C1174">
        <v>56.904454664750531</v>
      </c>
      <c r="D1174">
        <v>801.2147216796875</v>
      </c>
      <c r="E1174">
        <v>785.887451171875</v>
      </c>
      <c r="F1174">
        <f>(Table[[#This Row],[price_lag]] - Table[[#This Row],[price]]) / Table[[#This Row],[price]]</f>
        <v>-1.9130041040284443E-2</v>
      </c>
    </row>
    <row r="1175" spans="1:6" hidden="1" x14ac:dyDescent="0.2">
      <c r="A1175" t="s">
        <v>506</v>
      </c>
      <c r="B1175" t="s">
        <v>181</v>
      </c>
      <c r="C1175">
        <v>25.491683623370001</v>
      </c>
      <c r="D1175">
        <v>69.337379455566406</v>
      </c>
      <c r="E1175">
        <v>66.038185119628906</v>
      </c>
      <c r="F1175">
        <f>(Table[[#This Row],[price_lag]] - Table[[#This Row],[price]]) / Table[[#This Row],[price]]</f>
        <v>-4.7581756937493266E-2</v>
      </c>
    </row>
    <row r="1176" spans="1:6" hidden="1" x14ac:dyDescent="0.2">
      <c r="A1176" t="s">
        <v>506</v>
      </c>
      <c r="B1176" t="s">
        <v>182</v>
      </c>
      <c r="C1176">
        <v>34.680925876604583</v>
      </c>
      <c r="D1176">
        <v>412.0093994140625</v>
      </c>
      <c r="E1176">
        <v>342.14114379882812</v>
      </c>
      <c r="F1176">
        <f>(Table[[#This Row],[price_lag]] - Table[[#This Row],[price]]) / Table[[#This Row],[price]]</f>
        <v>-0.16957927589661118</v>
      </c>
    </row>
    <row r="1177" spans="1:6" hidden="1" x14ac:dyDescent="0.2">
      <c r="A1177" t="s">
        <v>506</v>
      </c>
      <c r="B1177" t="s">
        <v>183</v>
      </c>
      <c r="C1177">
        <v>23.56974927684929</v>
      </c>
      <c r="D1177">
        <v>297.921630859375</v>
      </c>
      <c r="E1177">
        <v>277.90771484375</v>
      </c>
      <c r="F1177">
        <f>(Table[[#This Row],[price_lag]] - Table[[#This Row],[price]]) / Table[[#This Row],[price]]</f>
        <v>-6.7178458837961891E-2</v>
      </c>
    </row>
    <row r="1178" spans="1:6" hidden="1" x14ac:dyDescent="0.2">
      <c r="A1178" t="s">
        <v>506</v>
      </c>
      <c r="B1178" t="s">
        <v>184</v>
      </c>
      <c r="C1178">
        <v>37.027688459916547</v>
      </c>
      <c r="D1178">
        <v>65.168731689453125</v>
      </c>
      <c r="E1178">
        <v>80.191047668457031</v>
      </c>
      <c r="F1178">
        <f>(Table[[#This Row],[price_lag]] - Table[[#This Row],[price]]) / Table[[#This Row],[price]]</f>
        <v>0.2305141682147408</v>
      </c>
    </row>
    <row r="1179" spans="1:6" hidden="1" x14ac:dyDescent="0.2">
      <c r="A1179" t="s">
        <v>506</v>
      </c>
      <c r="B1179" t="s">
        <v>185</v>
      </c>
      <c r="C1179">
        <v>18.429394157565369</v>
      </c>
      <c r="D1179">
        <v>361.21612548828119</v>
      </c>
      <c r="E1179">
        <v>339.85000610351562</v>
      </c>
      <c r="F1179">
        <f>(Table[[#This Row],[price_lag]] - Table[[#This Row],[price]]) / Table[[#This Row],[price]]</f>
        <v>-5.9150513714977385E-2</v>
      </c>
    </row>
    <row r="1180" spans="1:6" hidden="1" x14ac:dyDescent="0.2">
      <c r="A1180" t="s">
        <v>506</v>
      </c>
      <c r="B1180" t="s">
        <v>186</v>
      </c>
      <c r="C1180">
        <v>31.019489853470411</v>
      </c>
      <c r="D1180">
        <v>67.002098083496094</v>
      </c>
      <c r="E1180">
        <v>67.668388366699219</v>
      </c>
      <c r="F1180">
        <f>(Table[[#This Row],[price_lag]] - Table[[#This Row],[price]]) / Table[[#This Row],[price]]</f>
        <v>9.9443196894045491E-3</v>
      </c>
    </row>
    <row r="1181" spans="1:6" hidden="1" x14ac:dyDescent="0.2">
      <c r="A1181" t="s">
        <v>506</v>
      </c>
      <c r="B1181" t="s">
        <v>187</v>
      </c>
      <c r="C1181">
        <v>9.9975681304931641</v>
      </c>
      <c r="D1181">
        <v>59.985408782958977</v>
      </c>
      <c r="E1181">
        <v>62.207275390625</v>
      </c>
      <c r="F1181">
        <f>(Table[[#This Row],[price_lag]] - Table[[#This Row],[price]]) / Table[[#This Row],[price]]</f>
        <v>3.704011780106805E-2</v>
      </c>
    </row>
    <row r="1182" spans="1:6" hidden="1" x14ac:dyDescent="0.2">
      <c r="A1182" t="s">
        <v>506</v>
      </c>
      <c r="B1182" t="s">
        <v>188</v>
      </c>
      <c r="C1182">
        <v>12.47392450755202</v>
      </c>
      <c r="D1182">
        <v>44.877338409423828</v>
      </c>
      <c r="E1182">
        <v>42.664234161376953</v>
      </c>
      <c r="F1182">
        <f>(Table[[#This Row],[price_lag]] - Table[[#This Row],[price]]) / Table[[#This Row],[price]]</f>
        <v>-4.9314516557473549E-2</v>
      </c>
    </row>
    <row r="1183" spans="1:6" hidden="1" x14ac:dyDescent="0.2">
      <c r="A1183" t="s">
        <v>506</v>
      </c>
      <c r="B1183" t="s">
        <v>189</v>
      </c>
      <c r="C1183">
        <v>0</v>
      </c>
      <c r="D1183">
        <v>108.54798889160161</v>
      </c>
      <c r="E1183">
        <v>114.60964202880859</v>
      </c>
      <c r="F1183">
        <f>(Table[[#This Row],[price_lag]] - Table[[#This Row],[price]]) / Table[[#This Row],[price]]</f>
        <v>5.5843071798043979E-2</v>
      </c>
    </row>
    <row r="1184" spans="1:6" hidden="1" x14ac:dyDescent="0.2">
      <c r="A1184" t="s">
        <v>506</v>
      </c>
      <c r="B1184" t="s">
        <v>190</v>
      </c>
      <c r="C1184">
        <v>0</v>
      </c>
      <c r="D1184">
        <v>167.10394287109381</v>
      </c>
      <c r="E1184">
        <v>168.08143615722659</v>
      </c>
      <c r="F1184">
        <f>(Table[[#This Row],[price_lag]] - Table[[#This Row],[price]]) / Table[[#This Row],[price]]</f>
        <v>5.8496123391106056E-3</v>
      </c>
    </row>
    <row r="1185" spans="1:6" hidden="1" x14ac:dyDescent="0.2">
      <c r="A1185" t="s">
        <v>506</v>
      </c>
      <c r="B1185" t="s">
        <v>191</v>
      </c>
      <c r="C1185">
        <v>20.0680127014985</v>
      </c>
      <c r="D1185">
        <v>118.80263519287109</v>
      </c>
      <c r="E1185">
        <v>113.65114593505859</v>
      </c>
      <c r="F1185">
        <f>(Table[[#This Row],[price_lag]] - Table[[#This Row],[price]]) / Table[[#This Row],[price]]</f>
        <v>-4.3361742350658074E-2</v>
      </c>
    </row>
    <row r="1186" spans="1:6" hidden="1" x14ac:dyDescent="0.2">
      <c r="A1186" t="s">
        <v>506</v>
      </c>
      <c r="B1186" t="s">
        <v>192</v>
      </c>
      <c r="C1186">
        <v>28.030285239219669</v>
      </c>
      <c r="D1186">
        <v>143.51506042480469</v>
      </c>
      <c r="E1186">
        <v>144.06025695800781</v>
      </c>
      <c r="F1186">
        <f>(Table[[#This Row],[price_lag]] - Table[[#This Row],[price]]) / Table[[#This Row],[price]]</f>
        <v>3.7988802818975432E-3</v>
      </c>
    </row>
    <row r="1187" spans="1:6" hidden="1" x14ac:dyDescent="0.2">
      <c r="A1187" t="s">
        <v>506</v>
      </c>
      <c r="B1187" t="s">
        <v>193</v>
      </c>
      <c r="C1187">
        <v>16.441159898584541</v>
      </c>
      <c r="D1187">
        <v>115.7457656860352</v>
      </c>
      <c r="E1187">
        <v>105.8800430297852</v>
      </c>
      <c r="F1187">
        <f>(Table[[#This Row],[price_lag]] - Table[[#This Row],[price]]) / Table[[#This Row],[price]]</f>
        <v>-8.5236143177895157E-2</v>
      </c>
    </row>
    <row r="1188" spans="1:6" hidden="1" x14ac:dyDescent="0.2">
      <c r="A1188" t="s">
        <v>506</v>
      </c>
      <c r="B1188" t="s">
        <v>194</v>
      </c>
      <c r="C1188">
        <v>26.520915240405571</v>
      </c>
      <c r="D1188">
        <v>266.26998901367188</v>
      </c>
      <c r="E1188">
        <v>294.32000732421881</v>
      </c>
      <c r="F1188">
        <f>(Table[[#This Row],[price_lag]] - Table[[#This Row],[price]]) / Table[[#This Row],[price]]</f>
        <v>0.10534427261010883</v>
      </c>
    </row>
    <row r="1189" spans="1:6" hidden="1" x14ac:dyDescent="0.2">
      <c r="A1189" t="s">
        <v>506</v>
      </c>
      <c r="B1189" t="s">
        <v>195</v>
      </c>
      <c r="C1189">
        <v>29.556751000912481</v>
      </c>
      <c r="D1189">
        <v>450.44488525390619</v>
      </c>
      <c r="E1189">
        <v>444.2022705078125</v>
      </c>
      <c r="F1189">
        <f>(Table[[#This Row],[price_lag]] - Table[[#This Row],[price]]) / Table[[#This Row],[price]]</f>
        <v>-1.385877595785079E-2</v>
      </c>
    </row>
    <row r="1190" spans="1:6" hidden="1" x14ac:dyDescent="0.2">
      <c r="A1190" t="s">
        <v>506</v>
      </c>
      <c r="B1190" t="s">
        <v>196</v>
      </c>
      <c r="C1190">
        <v>69.121440561457547</v>
      </c>
      <c r="D1190">
        <v>1844.160034179688</v>
      </c>
      <c r="E1190">
        <v>1827.9599609375</v>
      </c>
      <c r="F1190">
        <f>(Table[[#This Row],[price_lag]] - Table[[#This Row],[price]]) / Table[[#This Row],[price]]</f>
        <v>-8.7845267991581918E-3</v>
      </c>
    </row>
    <row r="1191" spans="1:6" hidden="1" x14ac:dyDescent="0.2">
      <c r="A1191" t="s">
        <v>506</v>
      </c>
      <c r="B1191" t="s">
        <v>197</v>
      </c>
      <c r="C1191">
        <v>36.718636292677658</v>
      </c>
      <c r="D1191">
        <v>38.187381744384773</v>
      </c>
      <c r="E1191">
        <v>41.586380004882812</v>
      </c>
      <c r="F1191">
        <f>(Table[[#This Row],[price_lag]] - Table[[#This Row],[price]]) / Table[[#This Row],[price]]</f>
        <v>8.9008413387698215E-2</v>
      </c>
    </row>
    <row r="1192" spans="1:6" hidden="1" x14ac:dyDescent="0.2">
      <c r="A1192" t="s">
        <v>506</v>
      </c>
      <c r="B1192" t="s">
        <v>198</v>
      </c>
      <c r="C1192">
        <v>32.456217871771919</v>
      </c>
      <c r="D1192">
        <v>93.473907470703125</v>
      </c>
      <c r="E1192">
        <v>91.801963806152344</v>
      </c>
      <c r="F1192">
        <f>(Table[[#This Row],[price_lag]] - Table[[#This Row],[price]]) / Table[[#This Row],[price]]</f>
        <v>-1.7886741977431585E-2</v>
      </c>
    </row>
    <row r="1193" spans="1:6" hidden="1" x14ac:dyDescent="0.2">
      <c r="A1193" t="s">
        <v>506</v>
      </c>
      <c r="B1193" t="s">
        <v>199</v>
      </c>
      <c r="C1193">
        <v>15.9367649801403</v>
      </c>
      <c r="D1193">
        <v>239.44657897949219</v>
      </c>
      <c r="E1193">
        <v>224.7108154296875</v>
      </c>
      <c r="F1193">
        <f>(Table[[#This Row],[price_lag]] - Table[[#This Row],[price]]) / Table[[#This Row],[price]]</f>
        <v>-6.1540923293235933E-2</v>
      </c>
    </row>
    <row r="1194" spans="1:6" hidden="1" x14ac:dyDescent="0.2">
      <c r="A1194" t="s">
        <v>506</v>
      </c>
      <c r="B1194" t="s">
        <v>200</v>
      </c>
      <c r="C1194">
        <v>122.38779703776039</v>
      </c>
      <c r="D1194">
        <v>73.43267822265625</v>
      </c>
      <c r="E1194">
        <v>80.444175720214844</v>
      </c>
      <c r="F1194">
        <f>(Table[[#This Row],[price_lag]] - Table[[#This Row],[price]]) / Table[[#This Row],[price]]</f>
        <v>9.5481979784244483E-2</v>
      </c>
    </row>
    <row r="1195" spans="1:6" hidden="1" x14ac:dyDescent="0.2">
      <c r="A1195" t="s">
        <v>506</v>
      </c>
      <c r="B1195" t="s">
        <v>201</v>
      </c>
      <c r="C1195">
        <v>13.445146318892361</v>
      </c>
      <c r="D1195">
        <v>38.184215545654297</v>
      </c>
      <c r="E1195">
        <v>40.424530029296882</v>
      </c>
      <c r="F1195">
        <f>(Table[[#This Row],[price_lag]] - Table[[#This Row],[price]]) / Table[[#This Row],[price]]</f>
        <v>5.8671219288608717E-2</v>
      </c>
    </row>
    <row r="1196" spans="1:6" hidden="1" x14ac:dyDescent="0.2">
      <c r="A1196" t="s">
        <v>506</v>
      </c>
      <c r="B1196" t="s">
        <v>202</v>
      </c>
      <c r="C1196">
        <v>16.126275549129559</v>
      </c>
      <c r="D1196">
        <v>126.4300003051758</v>
      </c>
      <c r="E1196">
        <v>165.53999328613281</v>
      </c>
      <c r="F1196">
        <f>(Table[[#This Row],[price_lag]] - Table[[#This Row],[price]]) / Table[[#This Row],[price]]</f>
        <v>0.30934108112436609</v>
      </c>
    </row>
    <row r="1197" spans="1:6" hidden="1" x14ac:dyDescent="0.2">
      <c r="A1197" t="s">
        <v>506</v>
      </c>
      <c r="B1197" t="s">
        <v>203</v>
      </c>
      <c r="C1197">
        <v>15.810258926883821</v>
      </c>
      <c r="D1197">
        <v>39.209442138671882</v>
      </c>
      <c r="E1197">
        <v>39.461002349853523</v>
      </c>
      <c r="F1197">
        <f>(Table[[#This Row],[price_lag]] - Table[[#This Row],[price]]) / Table[[#This Row],[price]]</f>
        <v>6.4158069449687296E-3</v>
      </c>
    </row>
    <row r="1198" spans="1:6" hidden="1" x14ac:dyDescent="0.2">
      <c r="A1198" t="s">
        <v>506</v>
      </c>
      <c r="B1198" t="s">
        <v>204</v>
      </c>
      <c r="C1198">
        <v>36.069754430857188</v>
      </c>
      <c r="D1198">
        <v>220.83000183105469</v>
      </c>
      <c r="E1198">
        <v>172.4100036621094</v>
      </c>
      <c r="F1198">
        <f>(Table[[#This Row],[price_lag]] - Table[[#This Row],[price]]) / Table[[#This Row],[price]]</f>
        <v>-0.21926367688928813</v>
      </c>
    </row>
    <row r="1199" spans="1:6" hidden="1" x14ac:dyDescent="0.2">
      <c r="A1199" t="s">
        <v>506</v>
      </c>
      <c r="B1199" t="s">
        <v>205</v>
      </c>
      <c r="C1199">
        <v>20.090067386627201</v>
      </c>
      <c r="D1199">
        <v>9.6432323455810547</v>
      </c>
      <c r="E1199">
        <v>10.58382511138916</v>
      </c>
      <c r="F1199">
        <f>(Table[[#This Row],[price_lag]] - Table[[#This Row],[price]]) / Table[[#This Row],[price]]</f>
        <v>9.7539158251136168E-2</v>
      </c>
    </row>
    <row r="1200" spans="1:6" hidden="1" x14ac:dyDescent="0.2">
      <c r="A1200" t="s">
        <v>506</v>
      </c>
      <c r="B1200" t="s">
        <v>206</v>
      </c>
      <c r="C1200">
        <v>42.973215239388601</v>
      </c>
      <c r="D1200">
        <v>96.260002136230469</v>
      </c>
      <c r="E1200">
        <v>105.7200012207031</v>
      </c>
      <c r="F1200">
        <f>(Table[[#This Row],[price_lag]] - Table[[#This Row],[price]]) / Table[[#This Row],[price]]</f>
        <v>9.8275492151813082E-2</v>
      </c>
    </row>
    <row r="1201" spans="1:6" hidden="1" x14ac:dyDescent="0.2">
      <c r="A1201" t="s">
        <v>506</v>
      </c>
      <c r="B1201" t="s">
        <v>207</v>
      </c>
      <c r="C1201">
        <v>27.478092193603519</v>
      </c>
      <c r="D1201">
        <v>54.956184387207031</v>
      </c>
      <c r="E1201">
        <v>52.008213043212891</v>
      </c>
      <c r="F1201">
        <f>(Table[[#This Row],[price_lag]] - Table[[#This Row],[price]]) / Table[[#This Row],[price]]</f>
        <v>-5.3642212916812031E-2</v>
      </c>
    </row>
    <row r="1202" spans="1:6" hidden="1" x14ac:dyDescent="0.2">
      <c r="A1202" t="s">
        <v>506</v>
      </c>
      <c r="B1202" t="s">
        <v>208</v>
      </c>
      <c r="C1202">
        <v>18.780136108398441</v>
      </c>
      <c r="D1202">
        <v>56.340408325195312</v>
      </c>
      <c r="E1202">
        <v>55.782978057861328</v>
      </c>
      <c r="F1202">
        <f>(Table[[#This Row],[price_lag]] - Table[[#This Row],[price]]) / Table[[#This Row],[price]]</f>
        <v>-9.8939692470191541E-3</v>
      </c>
    </row>
    <row r="1203" spans="1:6" hidden="1" x14ac:dyDescent="0.2">
      <c r="A1203" t="s">
        <v>506</v>
      </c>
      <c r="B1203" t="s">
        <v>209</v>
      </c>
      <c r="C1203">
        <v>17.481549580891929</v>
      </c>
      <c r="D1203">
        <v>52.444648742675781</v>
      </c>
      <c r="E1203">
        <v>51.370086669921882</v>
      </c>
      <c r="F1203">
        <f>(Table[[#This Row],[price_lag]] - Table[[#This Row],[price]]) / Table[[#This Row],[price]]</f>
        <v>-2.0489451231265391E-2</v>
      </c>
    </row>
    <row r="1204" spans="1:6" hidden="1" x14ac:dyDescent="0.2">
      <c r="A1204" t="s">
        <v>506</v>
      </c>
      <c r="B1204" t="s">
        <v>210</v>
      </c>
      <c r="C1204">
        <v>17.763620156508221</v>
      </c>
      <c r="D1204">
        <v>18.474164962768551</v>
      </c>
      <c r="E1204">
        <v>23.205022811889648</v>
      </c>
      <c r="F1204">
        <f>(Table[[#This Row],[price_lag]] - Table[[#This Row],[price]]) / Table[[#This Row],[price]]</f>
        <v>0.25607965819593548</v>
      </c>
    </row>
    <row r="1205" spans="1:6" hidden="1" x14ac:dyDescent="0.2">
      <c r="A1205" t="s">
        <v>506</v>
      </c>
      <c r="B1205" t="s">
        <v>211</v>
      </c>
      <c r="C1205">
        <v>38.109573968803737</v>
      </c>
      <c r="D1205">
        <v>37.340522766113281</v>
      </c>
      <c r="E1205">
        <v>42.946060180664062</v>
      </c>
      <c r="F1205">
        <f>(Table[[#This Row],[price_lag]] - Table[[#This Row],[price]]) / Table[[#This Row],[price]]</f>
        <v>0.15011941449405297</v>
      </c>
    </row>
    <row r="1206" spans="1:6" hidden="1" x14ac:dyDescent="0.2">
      <c r="A1206" t="s">
        <v>506</v>
      </c>
      <c r="B1206" t="s">
        <v>212</v>
      </c>
      <c r="C1206">
        <v>30.987458422004831</v>
      </c>
      <c r="D1206">
        <v>214.43321228027341</v>
      </c>
      <c r="E1206">
        <v>207.05329895019531</v>
      </c>
      <c r="F1206">
        <f>(Table[[#This Row],[price_lag]] - Table[[#This Row],[price]]) / Table[[#This Row],[price]]</f>
        <v>-3.4415906246986747E-2</v>
      </c>
    </row>
    <row r="1207" spans="1:6" hidden="1" x14ac:dyDescent="0.2">
      <c r="A1207" t="s">
        <v>506</v>
      </c>
      <c r="B1207" t="s">
        <v>213</v>
      </c>
      <c r="C1207">
        <v>38.437728043440927</v>
      </c>
      <c r="D1207">
        <v>419.739990234375</v>
      </c>
      <c r="E1207">
        <v>404.22000122070312</v>
      </c>
      <c r="F1207">
        <f>(Table[[#This Row],[price_lag]] - Table[[#This Row],[price]]) / Table[[#This Row],[price]]</f>
        <v>-3.697524509162399E-2</v>
      </c>
    </row>
    <row r="1208" spans="1:6" hidden="1" x14ac:dyDescent="0.2">
      <c r="A1208" t="s">
        <v>506</v>
      </c>
      <c r="B1208" t="s">
        <v>214</v>
      </c>
      <c r="C1208">
        <v>26.944081074482689</v>
      </c>
      <c r="D1208">
        <v>199.3861999511719</v>
      </c>
      <c r="E1208">
        <v>256.40777587890619</v>
      </c>
      <c r="F1208">
        <f>(Table[[#This Row],[price_lag]] - Table[[#This Row],[price]]) / Table[[#This Row],[price]]</f>
        <v>0.2859855694210453</v>
      </c>
    </row>
    <row r="1209" spans="1:6" hidden="1" x14ac:dyDescent="0.2">
      <c r="A1209" t="s">
        <v>506</v>
      </c>
      <c r="B1209" t="s">
        <v>215</v>
      </c>
      <c r="C1209">
        <v>16.37451047819804</v>
      </c>
      <c r="D1209">
        <v>80.562591552734375</v>
      </c>
      <c r="E1209">
        <v>73.973312377929688</v>
      </c>
      <c r="F1209">
        <f>(Table[[#This Row],[price_lag]] - Table[[#This Row],[price]]) / Table[[#This Row],[price]]</f>
        <v>-8.1790804488848901E-2</v>
      </c>
    </row>
    <row r="1210" spans="1:6" hidden="1" x14ac:dyDescent="0.2">
      <c r="A1210" t="s">
        <v>506</v>
      </c>
      <c r="B1210" t="s">
        <v>216</v>
      </c>
      <c r="C1210">
        <v>82.76178940482761</v>
      </c>
      <c r="D1210">
        <v>304.56338500976562</v>
      </c>
      <c r="E1210">
        <v>528.31036376953125</v>
      </c>
      <c r="F1210">
        <f>(Table[[#This Row],[price_lag]] - Table[[#This Row],[price]]) / Table[[#This Row],[price]]</f>
        <v>0.73464831878129844</v>
      </c>
    </row>
    <row r="1211" spans="1:6" hidden="1" x14ac:dyDescent="0.2">
      <c r="A1211" t="s">
        <v>506</v>
      </c>
      <c r="B1211" t="s">
        <v>217</v>
      </c>
      <c r="C1211">
        <v>28.474639809649918</v>
      </c>
      <c r="D1211">
        <v>26.19666862487793</v>
      </c>
      <c r="E1211">
        <v>29.146127700805661</v>
      </c>
      <c r="F1211">
        <f>(Table[[#This Row],[price_lag]] - Table[[#This Row],[price]]) / Table[[#This Row],[price]]</f>
        <v>0.1125890897870406</v>
      </c>
    </row>
    <row r="1212" spans="1:6" hidden="1" x14ac:dyDescent="0.2">
      <c r="A1212" t="s">
        <v>506</v>
      </c>
      <c r="B1212" t="s">
        <v>218</v>
      </c>
      <c r="C1212">
        <v>42.78716267766179</v>
      </c>
      <c r="D1212">
        <v>126.65000152587891</v>
      </c>
      <c r="E1212">
        <v>143.21000671386719</v>
      </c>
      <c r="F1212">
        <f>(Table[[#This Row],[price_lag]] - Table[[#This Row],[price]]) / Table[[#This Row],[price]]</f>
        <v>0.13075408597294416</v>
      </c>
    </row>
    <row r="1213" spans="1:6" hidden="1" x14ac:dyDescent="0.2">
      <c r="A1213" t="s">
        <v>506</v>
      </c>
      <c r="B1213" t="s">
        <v>219</v>
      </c>
      <c r="C1213">
        <v>18.117868480320549</v>
      </c>
      <c r="D1213">
        <v>267.41973876953119</v>
      </c>
      <c r="E1213">
        <v>287.72637939453119</v>
      </c>
      <c r="F1213">
        <f>(Table[[#This Row],[price_lag]] - Table[[#This Row],[price]]) / Table[[#This Row],[price]]</f>
        <v>7.5935459059365676E-2</v>
      </c>
    </row>
    <row r="1214" spans="1:6" hidden="1" x14ac:dyDescent="0.2">
      <c r="A1214" t="s">
        <v>506</v>
      </c>
      <c r="B1214" t="s">
        <v>220</v>
      </c>
      <c r="C1214">
        <v>12.4869329887524</v>
      </c>
      <c r="D1214">
        <v>56.940414428710938</v>
      </c>
      <c r="E1214">
        <v>49.85595703125</v>
      </c>
      <c r="F1214">
        <f>(Table[[#This Row],[price_lag]] - Table[[#This Row],[price]]) / Table[[#This Row],[price]]</f>
        <v>-0.12441878880826616</v>
      </c>
    </row>
    <row r="1215" spans="1:6" hidden="1" x14ac:dyDescent="0.2">
      <c r="A1215" t="s">
        <v>506</v>
      </c>
      <c r="B1215" t="s">
        <v>221</v>
      </c>
      <c r="C1215">
        <v>3.431368154637954</v>
      </c>
      <c r="D1215">
        <v>46.666606903076172</v>
      </c>
      <c r="E1215">
        <v>48.985271453857422</v>
      </c>
      <c r="F1215">
        <f>(Table[[#This Row],[price_lag]] - Table[[#This Row],[price]]) / Table[[#This Row],[price]]</f>
        <v>4.9685732575264825E-2</v>
      </c>
    </row>
    <row r="1216" spans="1:6" hidden="1" x14ac:dyDescent="0.2">
      <c r="A1216" t="s">
        <v>506</v>
      </c>
      <c r="B1216" t="s">
        <v>222</v>
      </c>
      <c r="C1216">
        <v>20.78188623700823</v>
      </c>
      <c r="D1216">
        <v>116.37856292724609</v>
      </c>
      <c r="E1216">
        <v>119.4736785888672</v>
      </c>
      <c r="F1216">
        <f>(Table[[#This Row],[price_lag]] - Table[[#This Row],[price]]) / Table[[#This Row],[price]]</f>
        <v>2.6595238708661623E-2</v>
      </c>
    </row>
    <row r="1217" spans="1:6" hidden="1" x14ac:dyDescent="0.2">
      <c r="A1217" t="s">
        <v>506</v>
      </c>
      <c r="B1217" t="s">
        <v>223</v>
      </c>
      <c r="C1217">
        <v>25.888608536630301</v>
      </c>
      <c r="D1217">
        <v>109.7677001953125</v>
      </c>
      <c r="E1217">
        <v>109.3829345703125</v>
      </c>
      <c r="F1217">
        <f>(Table[[#This Row],[price_lag]] - Table[[#This Row],[price]]) / Table[[#This Row],[price]]</f>
        <v>-3.5052718086957878E-3</v>
      </c>
    </row>
    <row r="1218" spans="1:6" hidden="1" x14ac:dyDescent="0.2">
      <c r="A1218" t="s">
        <v>506</v>
      </c>
      <c r="B1218" t="s">
        <v>224</v>
      </c>
      <c r="C1218">
        <v>19.56224749165197</v>
      </c>
      <c r="D1218">
        <v>97.02874755859375</v>
      </c>
      <c r="E1218">
        <v>79.565589904785156</v>
      </c>
      <c r="F1218">
        <f>(Table[[#This Row],[price_lag]] - Table[[#This Row],[price]]) / Table[[#This Row],[price]]</f>
        <v>-0.17997921330750907</v>
      </c>
    </row>
    <row r="1219" spans="1:6" hidden="1" x14ac:dyDescent="0.2">
      <c r="A1219" t="s">
        <v>506</v>
      </c>
      <c r="B1219" t="s">
        <v>225</v>
      </c>
      <c r="C1219">
        <v>10.70888706895172</v>
      </c>
      <c r="D1219">
        <v>130.64842224121091</v>
      </c>
      <c r="E1219">
        <v>123.5294723510742</v>
      </c>
      <c r="F1219">
        <f>(Table[[#This Row],[price_lag]] - Table[[#This Row],[price]]) / Table[[#This Row],[price]]</f>
        <v>-5.4489367479641469E-2</v>
      </c>
    </row>
    <row r="1220" spans="1:6" hidden="1" x14ac:dyDescent="0.2">
      <c r="A1220" t="s">
        <v>506</v>
      </c>
      <c r="B1220" t="s">
        <v>226</v>
      </c>
      <c r="C1220">
        <v>29.05483861123362</v>
      </c>
      <c r="D1220">
        <v>180.13999938964841</v>
      </c>
      <c r="E1220">
        <v>180.05999755859381</v>
      </c>
      <c r="F1220">
        <f>(Table[[#This Row],[price_lag]] - Table[[#This Row],[price]]) / Table[[#This Row],[price]]</f>
        <v>-4.441092002090873E-4</v>
      </c>
    </row>
    <row r="1221" spans="1:6" hidden="1" x14ac:dyDescent="0.2">
      <c r="A1221" t="s">
        <v>506</v>
      </c>
      <c r="B1221" t="s">
        <v>227</v>
      </c>
      <c r="C1221">
        <v>9.4389273660224777</v>
      </c>
      <c r="D1221">
        <v>538.01885986328125</v>
      </c>
      <c r="E1221">
        <v>700.5086669921875</v>
      </c>
      <c r="F1221">
        <f>(Table[[#This Row],[price_lag]] - Table[[#This Row],[price]]) / Table[[#This Row],[price]]</f>
        <v>0.30201507651645776</v>
      </c>
    </row>
    <row r="1222" spans="1:6" hidden="1" x14ac:dyDescent="0.2">
      <c r="A1222" t="s">
        <v>506</v>
      </c>
      <c r="B1222" t="s">
        <v>228</v>
      </c>
      <c r="C1222">
        <v>25.84650913874308</v>
      </c>
      <c r="D1222">
        <v>24.812648773193359</v>
      </c>
      <c r="E1222">
        <v>20.09952354431152</v>
      </c>
      <c r="F1222">
        <f>(Table[[#This Row],[price_lag]] - Table[[#This Row],[price]]) / Table[[#This Row],[price]]</f>
        <v>-0.18994849247911494</v>
      </c>
    </row>
    <row r="1223" spans="1:6" hidden="1" x14ac:dyDescent="0.2">
      <c r="A1223" t="s">
        <v>506</v>
      </c>
      <c r="B1223" t="s">
        <v>229</v>
      </c>
      <c r="C1223">
        <v>14.01521437758699</v>
      </c>
      <c r="D1223">
        <v>122.21266937255859</v>
      </c>
      <c r="E1223">
        <v>125.81805419921881</v>
      </c>
      <c r="F1223">
        <f>(Table[[#This Row],[price_lag]] - Table[[#This Row],[price]]) / Table[[#This Row],[price]]</f>
        <v>2.9500908908792395E-2</v>
      </c>
    </row>
    <row r="1224" spans="1:6" hidden="1" x14ac:dyDescent="0.2">
      <c r="A1224" t="s">
        <v>506</v>
      </c>
      <c r="B1224" t="s">
        <v>230</v>
      </c>
      <c r="C1224">
        <v>21.046758033859899</v>
      </c>
      <c r="D1224">
        <v>59.772792816162109</v>
      </c>
      <c r="E1224">
        <v>72.5008544921875</v>
      </c>
      <c r="F1224">
        <f>(Table[[#This Row],[price_lag]] - Table[[#This Row],[price]]) / Table[[#This Row],[price]]</f>
        <v>0.21294072229771768</v>
      </c>
    </row>
    <row r="1225" spans="1:6" hidden="1" x14ac:dyDescent="0.2">
      <c r="A1225" t="s">
        <v>506</v>
      </c>
      <c r="B1225" t="s">
        <v>231</v>
      </c>
      <c r="C1225">
        <v>12.96840412118005</v>
      </c>
      <c r="D1225">
        <v>343.75250244140619</v>
      </c>
      <c r="E1225">
        <v>381.84786987304688</v>
      </c>
      <c r="F1225">
        <f>(Table[[#This Row],[price_lag]] - Table[[#This Row],[price]]) / Table[[#This Row],[price]]</f>
        <v>0.1108220803080093</v>
      </c>
    </row>
    <row r="1226" spans="1:6" hidden="1" x14ac:dyDescent="0.2">
      <c r="A1226" t="s">
        <v>506</v>
      </c>
      <c r="B1226" t="s">
        <v>232</v>
      </c>
      <c r="C1226">
        <v>79.534331957499191</v>
      </c>
      <c r="D1226">
        <v>19.088239669799801</v>
      </c>
      <c r="E1226">
        <v>16.8160400390625</v>
      </c>
      <c r="F1226">
        <f>(Table[[#This Row],[price_lag]] - Table[[#This Row],[price]]) / Table[[#This Row],[price]]</f>
        <v>-0.11903662517043051</v>
      </c>
    </row>
    <row r="1227" spans="1:6" hidden="1" x14ac:dyDescent="0.2">
      <c r="A1227" t="s">
        <v>506</v>
      </c>
      <c r="B1227" t="s">
        <v>233</v>
      </c>
      <c r="C1227">
        <v>19.23876344487908</v>
      </c>
      <c r="D1227">
        <v>68.489997863769531</v>
      </c>
      <c r="E1227">
        <v>73.050003051757812</v>
      </c>
      <c r="F1227">
        <f>(Table[[#This Row],[price_lag]] - Table[[#This Row],[price]]) / Table[[#This Row],[price]]</f>
        <v>6.6579140461624609E-2</v>
      </c>
    </row>
    <row r="1228" spans="1:6" hidden="1" x14ac:dyDescent="0.2">
      <c r="A1228" t="s">
        <v>506</v>
      </c>
      <c r="B1228" t="s">
        <v>234</v>
      </c>
      <c r="C1228">
        <v>36.627816317374247</v>
      </c>
      <c r="D1228">
        <v>167.02284240722659</v>
      </c>
      <c r="E1228">
        <v>163.42970275878909</v>
      </c>
      <c r="F1228">
        <f>(Table[[#This Row],[price_lag]] - Table[[#This Row],[price]]) / Table[[#This Row],[price]]</f>
        <v>-2.1512863729602264E-2</v>
      </c>
    </row>
    <row r="1229" spans="1:6" hidden="1" x14ac:dyDescent="0.2">
      <c r="A1229" t="s">
        <v>506</v>
      </c>
      <c r="B1229" t="s">
        <v>235</v>
      </c>
      <c r="C1229">
        <v>0</v>
      </c>
      <c r="D1229">
        <v>15.146321296691889</v>
      </c>
      <c r="E1229">
        <v>20.220888137817379</v>
      </c>
      <c r="F1229">
        <f>(Table[[#This Row],[price_lag]] - Table[[#This Row],[price]]) / Table[[#This Row],[price]]</f>
        <v>0.3350362600741757</v>
      </c>
    </row>
    <row r="1230" spans="1:6" hidden="1" x14ac:dyDescent="0.2">
      <c r="A1230" t="s">
        <v>506</v>
      </c>
      <c r="B1230" t="s">
        <v>236</v>
      </c>
      <c r="C1230">
        <v>45.431835937499997</v>
      </c>
      <c r="D1230">
        <v>227.1591796875</v>
      </c>
      <c r="E1230">
        <v>266.04434204101562</v>
      </c>
      <c r="F1230">
        <f>(Table[[#This Row],[price_lag]] - Table[[#This Row],[price]]) / Table[[#This Row],[price]]</f>
        <v>0.17118023760699194</v>
      </c>
    </row>
    <row r="1231" spans="1:6" hidden="1" x14ac:dyDescent="0.2">
      <c r="A1231" t="s">
        <v>506</v>
      </c>
      <c r="B1231" t="s">
        <v>237</v>
      </c>
      <c r="C1231">
        <v>0</v>
      </c>
      <c r="D1231">
        <v>61.770000457763672</v>
      </c>
      <c r="E1231">
        <v>65.160003662109375</v>
      </c>
      <c r="F1231">
        <f>(Table[[#This Row],[price_lag]] - Table[[#This Row],[price]]) / Table[[#This Row],[price]]</f>
        <v>5.4881061667850846E-2</v>
      </c>
    </row>
    <row r="1232" spans="1:6" hidden="1" x14ac:dyDescent="0.2">
      <c r="A1232" t="s">
        <v>506</v>
      </c>
      <c r="B1232" t="s">
        <v>238</v>
      </c>
      <c r="C1232">
        <v>26.00031725933097</v>
      </c>
      <c r="D1232">
        <v>359.84439086914062</v>
      </c>
      <c r="E1232">
        <v>362.2288818359375</v>
      </c>
      <c r="F1232">
        <f>(Table[[#This Row],[price_lag]] - Table[[#This Row],[price]]) / Table[[#This Row],[price]]</f>
        <v>6.6264502860182367E-3</v>
      </c>
    </row>
    <row r="1233" spans="1:6" hidden="1" x14ac:dyDescent="0.2">
      <c r="A1233" t="s">
        <v>506</v>
      </c>
      <c r="B1233" t="s">
        <v>239</v>
      </c>
      <c r="C1233">
        <v>21.914838041578019</v>
      </c>
      <c r="D1233">
        <v>196.35694885253909</v>
      </c>
      <c r="E1233">
        <v>217.0542907714844</v>
      </c>
      <c r="F1233">
        <f>(Table[[#This Row],[price_lag]] - Table[[#This Row],[price]]) / Table[[#This Row],[price]]</f>
        <v>0.10540671995513988</v>
      </c>
    </row>
    <row r="1234" spans="1:6" hidden="1" x14ac:dyDescent="0.2">
      <c r="A1234" t="s">
        <v>506</v>
      </c>
      <c r="B1234" t="s">
        <v>240</v>
      </c>
      <c r="C1234">
        <v>22.424853931773789</v>
      </c>
      <c r="D1234">
        <v>29.60080718994141</v>
      </c>
      <c r="E1234">
        <v>29.220243453979489</v>
      </c>
      <c r="F1234">
        <f>(Table[[#This Row],[price_lag]] - Table[[#This Row],[price]]) / Table[[#This Row],[price]]</f>
        <v>-1.2856532374942794E-2</v>
      </c>
    </row>
    <row r="1235" spans="1:6" hidden="1" x14ac:dyDescent="0.2">
      <c r="A1235" t="s">
        <v>506</v>
      </c>
      <c r="B1235" t="s">
        <v>241</v>
      </c>
      <c r="C1235">
        <v>9.7166381563459137</v>
      </c>
      <c r="D1235">
        <v>13.603293418884279</v>
      </c>
      <c r="E1235">
        <v>14.89319324493408</v>
      </c>
      <c r="F1235">
        <f>(Table[[#This Row],[price_lag]] - Table[[#This Row],[price]]) / Table[[#This Row],[price]]</f>
        <v>9.4822612901898043E-2</v>
      </c>
    </row>
    <row r="1236" spans="1:6" hidden="1" x14ac:dyDescent="0.2">
      <c r="A1236" t="s">
        <v>506</v>
      </c>
      <c r="B1236" t="s">
        <v>242</v>
      </c>
      <c r="C1236">
        <v>38.084227618049177</v>
      </c>
      <c r="D1236">
        <v>129.48637390136719</v>
      </c>
      <c r="E1236">
        <v>185.89851379394531</v>
      </c>
      <c r="F1236">
        <f>(Table[[#This Row],[price_lag]] - Table[[#This Row],[price]]) / Table[[#This Row],[price]]</f>
        <v>0.43566082046245713</v>
      </c>
    </row>
    <row r="1237" spans="1:6" hidden="1" x14ac:dyDescent="0.2">
      <c r="A1237" t="s">
        <v>506</v>
      </c>
      <c r="B1237" t="s">
        <v>243</v>
      </c>
      <c r="C1237">
        <v>15.5729471251022</v>
      </c>
      <c r="D1237">
        <v>26.785469055175781</v>
      </c>
      <c r="E1237">
        <v>23.93156814575195</v>
      </c>
      <c r="F1237">
        <f>(Table[[#This Row],[price_lag]] - Table[[#This Row],[price]]) / Table[[#This Row],[price]]</f>
        <v>-0.10654660941516608</v>
      </c>
    </row>
    <row r="1238" spans="1:6" hidden="1" x14ac:dyDescent="0.2">
      <c r="A1238" t="s">
        <v>506</v>
      </c>
      <c r="B1238" t="s">
        <v>244</v>
      </c>
      <c r="C1238">
        <v>25.929052618485461</v>
      </c>
      <c r="D1238">
        <v>327.74322509765619</v>
      </c>
      <c r="E1238">
        <v>405.8511962890625</v>
      </c>
      <c r="F1238">
        <f>(Table[[#This Row],[price_lag]] - Table[[#This Row],[price]]) / Table[[#This Row],[price]]</f>
        <v>0.23832062788828914</v>
      </c>
    </row>
    <row r="1239" spans="1:6" hidden="1" x14ac:dyDescent="0.2">
      <c r="A1239" t="s">
        <v>506</v>
      </c>
      <c r="B1239" t="s">
        <v>245</v>
      </c>
      <c r="C1239">
        <v>6.3484502694308462</v>
      </c>
      <c r="D1239">
        <v>261.81008911132812</v>
      </c>
      <c r="E1239">
        <v>242.79792785644531</v>
      </c>
      <c r="F1239">
        <f>(Table[[#This Row],[price_lag]] - Table[[#This Row],[price]]) / Table[[#This Row],[price]]</f>
        <v>-7.2618138282663239E-2</v>
      </c>
    </row>
    <row r="1240" spans="1:6" hidden="1" x14ac:dyDescent="0.2">
      <c r="A1240" t="s">
        <v>506</v>
      </c>
      <c r="B1240" t="s">
        <v>246</v>
      </c>
      <c r="C1240">
        <v>10.736047520357021</v>
      </c>
      <c r="D1240">
        <v>14.60102462768555</v>
      </c>
      <c r="E1240">
        <v>16.46590423583984</v>
      </c>
      <c r="F1240">
        <f>(Table[[#This Row],[price_lag]] - Table[[#This Row],[price]]) / Table[[#This Row],[price]]</f>
        <v>0.12772251644711438</v>
      </c>
    </row>
    <row r="1241" spans="1:6" hidden="1" x14ac:dyDescent="0.2">
      <c r="A1241" t="s">
        <v>506</v>
      </c>
      <c r="B1241" t="s">
        <v>247</v>
      </c>
      <c r="C1241">
        <v>13.253813368663939</v>
      </c>
      <c r="D1241">
        <v>200.92781066894531</v>
      </c>
      <c r="E1241">
        <v>239.22087097167969</v>
      </c>
      <c r="F1241">
        <f>(Table[[#This Row],[price_lag]] - Table[[#This Row],[price]]) / Table[[#This Row],[price]]</f>
        <v>0.19058118522889383</v>
      </c>
    </row>
    <row r="1242" spans="1:6" hidden="1" x14ac:dyDescent="0.2">
      <c r="A1242" t="s">
        <v>506</v>
      </c>
      <c r="B1242" t="s">
        <v>248</v>
      </c>
      <c r="C1242">
        <v>53.511392024525428</v>
      </c>
      <c r="D1242">
        <v>244.01194763183591</v>
      </c>
      <c r="E1242">
        <v>291.19479370117188</v>
      </c>
      <c r="F1242">
        <f>(Table[[#This Row],[price_lag]] - Table[[#This Row],[price]]) / Table[[#This Row],[price]]</f>
        <v>0.19336285180808124</v>
      </c>
    </row>
    <row r="1243" spans="1:6" hidden="1" x14ac:dyDescent="0.2">
      <c r="A1243" t="s">
        <v>506</v>
      </c>
      <c r="B1243" t="s">
        <v>249</v>
      </c>
      <c r="C1243">
        <v>35.354629395500062</v>
      </c>
      <c r="D1243">
        <v>178.18733215332031</v>
      </c>
      <c r="E1243">
        <v>173.51588439941409</v>
      </c>
      <c r="F1243">
        <f>(Table[[#This Row],[price_lag]] - Table[[#This Row],[price]]) / Table[[#This Row],[price]]</f>
        <v>-2.6216497533543517E-2</v>
      </c>
    </row>
    <row r="1244" spans="1:6" hidden="1" x14ac:dyDescent="0.2">
      <c r="A1244" t="s">
        <v>506</v>
      </c>
      <c r="B1244" t="s">
        <v>250</v>
      </c>
      <c r="C1244">
        <v>35.230705722066382</v>
      </c>
      <c r="D1244">
        <v>419.95001220703119</v>
      </c>
      <c r="E1244">
        <v>536.34002685546875</v>
      </c>
      <c r="F1244">
        <f>(Table[[#This Row],[price_lag]] - Table[[#This Row],[price]]) / Table[[#This Row],[price]]</f>
        <v>0.27715206873492942</v>
      </c>
    </row>
    <row r="1245" spans="1:6" hidden="1" x14ac:dyDescent="0.2">
      <c r="A1245" t="s">
        <v>506</v>
      </c>
      <c r="B1245" t="s">
        <v>251</v>
      </c>
      <c r="C1245">
        <v>25.462274272072762</v>
      </c>
      <c r="D1245">
        <v>243.4193420410156</v>
      </c>
      <c r="E1245">
        <v>244.14979553222659</v>
      </c>
      <c r="F1245">
        <f>(Table[[#This Row],[price_lag]] - Table[[#This Row],[price]]) / Table[[#This Row],[price]]</f>
        <v>3.0008029973555453E-3</v>
      </c>
    </row>
    <row r="1246" spans="1:6" hidden="1" x14ac:dyDescent="0.2">
      <c r="A1246" t="s">
        <v>506</v>
      </c>
      <c r="B1246" t="s">
        <v>252</v>
      </c>
      <c r="C1246">
        <v>18.46036562105505</v>
      </c>
      <c r="D1246">
        <v>60.549999237060547</v>
      </c>
      <c r="E1246">
        <v>68.099998474121094</v>
      </c>
      <c r="F1246">
        <f>(Table[[#This Row],[price_lag]] - Table[[#This Row],[price]]) / Table[[#This Row],[price]]</f>
        <v>0.12469032753413241</v>
      </c>
    </row>
    <row r="1247" spans="1:6" hidden="1" x14ac:dyDescent="0.2">
      <c r="A1247" t="s">
        <v>506</v>
      </c>
      <c r="B1247" t="s">
        <v>253</v>
      </c>
      <c r="C1247">
        <v>43.462156212848157</v>
      </c>
      <c r="D1247">
        <v>79.970367431640625</v>
      </c>
      <c r="E1247">
        <v>83.13800048828125</v>
      </c>
      <c r="F1247">
        <f>(Table[[#This Row],[price_lag]] - Table[[#This Row],[price]]) / Table[[#This Row],[price]]</f>
        <v>3.9610085064925402E-2</v>
      </c>
    </row>
    <row r="1248" spans="1:6" hidden="1" x14ac:dyDescent="0.2">
      <c r="A1248" t="s">
        <v>506</v>
      </c>
      <c r="B1248" t="s">
        <v>254</v>
      </c>
      <c r="C1248">
        <v>131.30499267578119</v>
      </c>
      <c r="D1248">
        <v>262.6099853515625</v>
      </c>
      <c r="E1248">
        <v>314.17999267578119</v>
      </c>
      <c r="F1248">
        <f>(Table[[#This Row],[price_lag]] - Table[[#This Row],[price]]) / Table[[#This Row],[price]]</f>
        <v>0.1963748912867142</v>
      </c>
    </row>
    <row r="1249" spans="1:6" hidden="1" x14ac:dyDescent="0.2">
      <c r="A1249" t="s">
        <v>506</v>
      </c>
      <c r="B1249" t="s">
        <v>255</v>
      </c>
      <c r="C1249">
        <v>0</v>
      </c>
      <c r="D1249">
        <v>22.70999908447266</v>
      </c>
      <c r="E1249">
        <v>22.39999961853027</v>
      </c>
      <c r="F1249">
        <f>(Table[[#This Row],[price_lag]] - Table[[#This Row],[price]]) / Table[[#This Row],[price]]</f>
        <v>-1.3650351318346974E-2</v>
      </c>
    </row>
    <row r="1250" spans="1:6" hidden="1" x14ac:dyDescent="0.2">
      <c r="A1250" t="s">
        <v>506</v>
      </c>
      <c r="B1250" t="s">
        <v>256</v>
      </c>
      <c r="C1250">
        <v>30.764021290291989</v>
      </c>
      <c r="D1250">
        <v>171.04795837402341</v>
      </c>
      <c r="E1250">
        <v>182.41455078125</v>
      </c>
      <c r="F1250">
        <f>(Table[[#This Row],[price_lag]] - Table[[#This Row],[price]]) / Table[[#This Row],[price]]</f>
        <v>6.6452663424206082E-2</v>
      </c>
    </row>
    <row r="1251" spans="1:6" hidden="1" x14ac:dyDescent="0.2">
      <c r="A1251" t="s">
        <v>506</v>
      </c>
      <c r="B1251" t="s">
        <v>257</v>
      </c>
      <c r="C1251">
        <v>0</v>
      </c>
      <c r="D1251">
        <v>76.217971801757812</v>
      </c>
      <c r="E1251">
        <v>72.618667602539062</v>
      </c>
      <c r="F1251">
        <f>(Table[[#This Row],[price_lag]] - Table[[#This Row],[price]]) / Table[[#This Row],[price]]</f>
        <v>-4.7223825485418376E-2</v>
      </c>
    </row>
    <row r="1252" spans="1:6" hidden="1" x14ac:dyDescent="0.2">
      <c r="A1252" t="s">
        <v>506</v>
      </c>
      <c r="B1252" t="s">
        <v>258</v>
      </c>
      <c r="C1252">
        <v>0</v>
      </c>
      <c r="D1252">
        <v>51.690345764160163</v>
      </c>
      <c r="E1252">
        <v>45.809322357177727</v>
      </c>
      <c r="F1252">
        <f>(Table[[#This Row],[price_lag]] - Table[[#This Row],[price]]) / Table[[#This Row],[price]]</f>
        <v>-0.11377411623081232</v>
      </c>
    </row>
    <row r="1253" spans="1:6" hidden="1" x14ac:dyDescent="0.2">
      <c r="A1253" t="s">
        <v>506</v>
      </c>
      <c r="B1253" t="s">
        <v>259</v>
      </c>
      <c r="C1253">
        <v>15.11029185814002</v>
      </c>
      <c r="D1253">
        <v>609.85137939453125</v>
      </c>
      <c r="E1253">
        <v>783.6873779296875</v>
      </c>
      <c r="F1253">
        <f>(Table[[#This Row],[price_lag]] - Table[[#This Row],[price]]) / Table[[#This Row],[price]]</f>
        <v>0.28504649560314677</v>
      </c>
    </row>
    <row r="1254" spans="1:6" hidden="1" x14ac:dyDescent="0.2">
      <c r="A1254" t="s">
        <v>506</v>
      </c>
      <c r="B1254" t="s">
        <v>260</v>
      </c>
      <c r="C1254">
        <v>63.496152437650252</v>
      </c>
      <c r="D1254">
        <v>495.26998901367188</v>
      </c>
      <c r="E1254">
        <v>543.40997314453125</v>
      </c>
      <c r="F1254">
        <f>(Table[[#This Row],[price_lag]] - Table[[#This Row],[price]]) / Table[[#This Row],[price]]</f>
        <v>9.7199477454165864E-2</v>
      </c>
    </row>
    <row r="1255" spans="1:6" hidden="1" x14ac:dyDescent="0.2">
      <c r="A1255" t="s">
        <v>506</v>
      </c>
      <c r="B1255" t="s">
        <v>261</v>
      </c>
      <c r="C1255">
        <v>9.6648724455582471</v>
      </c>
      <c r="D1255">
        <v>14.69060611724854</v>
      </c>
      <c r="E1255">
        <v>15.47935676574707</v>
      </c>
      <c r="F1255">
        <f>(Table[[#This Row],[price_lag]] - Table[[#This Row],[price]]) / Table[[#This Row],[price]]</f>
        <v>5.3690817261272943E-2</v>
      </c>
    </row>
    <row r="1256" spans="1:6" hidden="1" x14ac:dyDescent="0.2">
      <c r="A1256" t="s">
        <v>506</v>
      </c>
      <c r="B1256" t="s">
        <v>262</v>
      </c>
      <c r="C1256">
        <v>31.319575839572479</v>
      </c>
      <c r="D1256">
        <v>33.825141906738281</v>
      </c>
      <c r="E1256">
        <v>32.118019104003913</v>
      </c>
      <c r="F1256">
        <f>(Table[[#This Row],[price_lag]] - Table[[#This Row],[price]]) / Table[[#This Row],[price]]</f>
        <v>-5.0469050726858686E-2</v>
      </c>
    </row>
    <row r="1257" spans="1:6" hidden="1" x14ac:dyDescent="0.2">
      <c r="A1257" t="s">
        <v>506</v>
      </c>
      <c r="B1257" t="s">
        <v>263</v>
      </c>
      <c r="C1257">
        <v>31.038732931647509</v>
      </c>
      <c r="D1257">
        <v>176.30000305175781</v>
      </c>
      <c r="E1257">
        <v>157.5899963378906</v>
      </c>
      <c r="F1257">
        <f>(Table[[#This Row],[price_lag]] - Table[[#This Row],[price]]) / Table[[#This Row],[price]]</f>
        <v>-0.10612595796935051</v>
      </c>
    </row>
    <row r="1258" spans="1:6" hidden="1" x14ac:dyDescent="0.2">
      <c r="A1258" t="s">
        <v>506</v>
      </c>
      <c r="B1258" t="s">
        <v>264</v>
      </c>
      <c r="C1258">
        <v>419.02107238769531</v>
      </c>
      <c r="D1258">
        <v>83.804214477539062</v>
      </c>
      <c r="E1258">
        <v>100.6826629638672</v>
      </c>
      <c r="F1258">
        <f>(Table[[#This Row],[price_lag]] - Table[[#This Row],[price]]) / Table[[#This Row],[price]]</f>
        <v>0.20140333742823693</v>
      </c>
    </row>
    <row r="1259" spans="1:6" hidden="1" x14ac:dyDescent="0.2">
      <c r="A1259" t="s">
        <v>506</v>
      </c>
      <c r="B1259" t="s">
        <v>265</v>
      </c>
      <c r="C1259">
        <v>30.883811045152569</v>
      </c>
      <c r="D1259">
        <v>146.63139343261719</v>
      </c>
      <c r="E1259">
        <v>142.77711486816409</v>
      </c>
      <c r="F1259">
        <f>(Table[[#This Row],[price_lag]] - Table[[#This Row],[price]]) / Table[[#This Row],[price]]</f>
        <v>-2.628549367379699E-2</v>
      </c>
    </row>
    <row r="1260" spans="1:6" hidden="1" x14ac:dyDescent="0.2">
      <c r="A1260" t="s">
        <v>506</v>
      </c>
      <c r="B1260" t="s">
        <v>266</v>
      </c>
      <c r="C1260">
        <v>31.752531105112801</v>
      </c>
      <c r="D1260">
        <v>135.90083312988281</v>
      </c>
      <c r="E1260">
        <v>217.93333435058591</v>
      </c>
      <c r="F1260">
        <f>(Table[[#This Row],[price_lag]] - Table[[#This Row],[price]]) / Table[[#This Row],[price]]</f>
        <v>0.60362029673727746</v>
      </c>
    </row>
    <row r="1261" spans="1:6" hidden="1" x14ac:dyDescent="0.2">
      <c r="A1261" t="s">
        <v>506</v>
      </c>
      <c r="B1261" t="s">
        <v>267</v>
      </c>
      <c r="C1261">
        <v>29.615889680635672</v>
      </c>
      <c r="D1261">
        <v>180.7623596191406</v>
      </c>
      <c r="E1261">
        <v>178.92669677734381</v>
      </c>
      <c r="F1261">
        <f>(Table[[#This Row],[price_lag]] - Table[[#This Row],[price]]) / Table[[#This Row],[price]]</f>
        <v>-1.0155116616448587E-2</v>
      </c>
    </row>
    <row r="1262" spans="1:6" hidden="1" x14ac:dyDescent="0.2">
      <c r="A1262" t="s">
        <v>506</v>
      </c>
      <c r="B1262" t="s">
        <v>268</v>
      </c>
      <c r="C1262">
        <v>495.18632888793951</v>
      </c>
      <c r="D1262">
        <v>118.8447189331055</v>
      </c>
      <c r="E1262">
        <v>130.8485107421875</v>
      </c>
      <c r="F1262">
        <f>(Table[[#This Row],[price_lag]] - Table[[#This Row],[price]]) / Table[[#This Row],[price]]</f>
        <v>0.10100399846827536</v>
      </c>
    </row>
    <row r="1263" spans="1:6" hidden="1" x14ac:dyDescent="0.2">
      <c r="A1263" t="s">
        <v>506</v>
      </c>
      <c r="B1263" t="s">
        <v>269</v>
      </c>
      <c r="C1263">
        <v>8.8689431009565673</v>
      </c>
      <c r="D1263">
        <v>162.2023620605469</v>
      </c>
      <c r="E1263">
        <v>150.68028259277341</v>
      </c>
      <c r="F1263">
        <f>(Table[[#This Row],[price_lag]] - Table[[#This Row],[price]]) / Table[[#This Row],[price]]</f>
        <v>-7.1035213799614902E-2</v>
      </c>
    </row>
    <row r="1264" spans="1:6" hidden="1" x14ac:dyDescent="0.2">
      <c r="A1264" t="s">
        <v>506</v>
      </c>
      <c r="B1264" t="s">
        <v>270</v>
      </c>
      <c r="C1264">
        <v>27.33565552593911</v>
      </c>
      <c r="D1264">
        <v>79.820114135742188</v>
      </c>
      <c r="E1264">
        <v>105.620002746582</v>
      </c>
      <c r="F1264">
        <f>(Table[[#This Row],[price_lag]] - Table[[#This Row],[price]]) / Table[[#This Row],[price]]</f>
        <v>0.32322540364906632</v>
      </c>
    </row>
    <row r="1265" spans="1:6" hidden="1" x14ac:dyDescent="0.2">
      <c r="A1265" t="s">
        <v>506</v>
      </c>
      <c r="B1265" t="s">
        <v>271</v>
      </c>
      <c r="C1265">
        <v>11.829295120839999</v>
      </c>
      <c r="D1265">
        <v>240.37127685546881</v>
      </c>
      <c r="E1265">
        <v>285.83474731445312</v>
      </c>
      <c r="F1265">
        <f>(Table[[#This Row],[price_lag]] - Table[[#This Row],[price]]) / Table[[#This Row],[price]]</f>
        <v>0.18913853208143808</v>
      </c>
    </row>
    <row r="1266" spans="1:6" hidden="1" x14ac:dyDescent="0.2">
      <c r="A1266" t="s">
        <v>506</v>
      </c>
      <c r="B1266" t="s">
        <v>272</v>
      </c>
      <c r="C1266">
        <v>34.196357166065887</v>
      </c>
      <c r="D1266">
        <v>23.253522872924801</v>
      </c>
      <c r="E1266">
        <v>20.473312377929691</v>
      </c>
      <c r="F1266">
        <f>(Table[[#This Row],[price_lag]] - Table[[#This Row],[price]]) / Table[[#This Row],[price]]</f>
        <v>-0.11956082999502167</v>
      </c>
    </row>
    <row r="1267" spans="1:6" hidden="1" x14ac:dyDescent="0.2">
      <c r="A1267" t="s">
        <v>506</v>
      </c>
      <c r="B1267" t="s">
        <v>273</v>
      </c>
      <c r="C1267">
        <v>21.974809546219671</v>
      </c>
      <c r="D1267">
        <v>33.401710510253913</v>
      </c>
      <c r="E1267">
        <v>32.49566650390625</v>
      </c>
      <c r="F1267">
        <f>(Table[[#This Row],[price_lag]] - Table[[#This Row],[price]]) / Table[[#This Row],[price]]</f>
        <v>-2.7125676874228313E-2</v>
      </c>
    </row>
    <row r="1268" spans="1:6" hidden="1" x14ac:dyDescent="0.2">
      <c r="A1268" t="s">
        <v>506</v>
      </c>
      <c r="B1268" t="s">
        <v>274</v>
      </c>
      <c r="C1268">
        <v>11.354080368490781</v>
      </c>
      <c r="D1268">
        <v>15.441549301147459</v>
      </c>
      <c r="E1268">
        <v>17.045783996582031</v>
      </c>
      <c r="F1268">
        <f>(Table[[#This Row],[price_lag]] - Table[[#This Row],[price]]) / Table[[#This Row],[price]]</f>
        <v>0.10389078609588492</v>
      </c>
    </row>
    <row r="1269" spans="1:6" hidden="1" x14ac:dyDescent="0.2">
      <c r="A1269" t="s">
        <v>506</v>
      </c>
      <c r="B1269" t="s">
        <v>275</v>
      </c>
      <c r="C1269">
        <v>25.129195347728341</v>
      </c>
      <c r="D1269">
        <v>149.77000427246091</v>
      </c>
      <c r="E1269">
        <v>163.86000061035159</v>
      </c>
      <c r="F1269">
        <f>(Table[[#This Row],[price_lag]] - Table[[#This Row],[price]]) / Table[[#This Row],[price]]</f>
        <v>9.4077558496013833E-2</v>
      </c>
    </row>
    <row r="1270" spans="1:6" hidden="1" x14ac:dyDescent="0.2">
      <c r="A1270" t="s">
        <v>506</v>
      </c>
      <c r="B1270" t="s">
        <v>276</v>
      </c>
      <c r="C1270">
        <v>20.152918497721359</v>
      </c>
      <c r="D1270">
        <v>137.84596252441409</v>
      </c>
      <c r="E1270">
        <v>126.1296081542969</v>
      </c>
      <c r="F1270">
        <f>(Table[[#This Row],[price_lag]] - Table[[#This Row],[price]]) / Table[[#This Row],[price]]</f>
        <v>-8.4995992305847104E-2</v>
      </c>
    </row>
    <row r="1271" spans="1:6" hidden="1" x14ac:dyDescent="0.2">
      <c r="A1271" t="s">
        <v>506</v>
      </c>
      <c r="B1271" t="s">
        <v>277</v>
      </c>
      <c r="C1271">
        <v>28.457940949334041</v>
      </c>
      <c r="D1271">
        <v>20.489717483520511</v>
      </c>
      <c r="E1271">
        <v>20.523933410644531</v>
      </c>
      <c r="F1271">
        <f>(Table[[#This Row],[price_lag]] - Table[[#This Row],[price]]) / Table[[#This Row],[price]]</f>
        <v>1.669907218171217E-3</v>
      </c>
    </row>
    <row r="1272" spans="1:6" hidden="1" x14ac:dyDescent="0.2">
      <c r="A1272" t="s">
        <v>506</v>
      </c>
      <c r="B1272" t="s">
        <v>278</v>
      </c>
      <c r="C1272">
        <v>21.57431244850159</v>
      </c>
      <c r="D1272">
        <v>27.615119934082031</v>
      </c>
      <c r="E1272">
        <v>28.766986846923832</v>
      </c>
      <c r="F1272">
        <f>(Table[[#This Row],[price_lag]] - Table[[#This Row],[price]]) / Table[[#This Row],[price]]</f>
        <v>4.1711457911149219E-2</v>
      </c>
    </row>
    <row r="1273" spans="1:6" hidden="1" x14ac:dyDescent="0.2">
      <c r="A1273" t="s">
        <v>506</v>
      </c>
      <c r="B1273" t="s">
        <v>279</v>
      </c>
      <c r="C1273">
        <v>0</v>
      </c>
      <c r="D1273">
        <v>115.1013565063477</v>
      </c>
      <c r="E1273">
        <v>132.65252685546881</v>
      </c>
      <c r="F1273">
        <f>(Table[[#This Row],[price_lag]] - Table[[#This Row],[price]]) / Table[[#This Row],[price]]</f>
        <v>0.15248447873985901</v>
      </c>
    </row>
    <row r="1274" spans="1:6" hidden="1" x14ac:dyDescent="0.2">
      <c r="A1274" t="s">
        <v>506</v>
      </c>
      <c r="B1274" t="s">
        <v>280</v>
      </c>
      <c r="C1274">
        <v>20.571293523047348</v>
      </c>
      <c r="D1274">
        <v>675.561279296875</v>
      </c>
      <c r="E1274">
        <v>892.2977294921875</v>
      </c>
      <c r="F1274">
        <f>(Table[[#This Row],[price_lag]] - Table[[#This Row],[price]]) / Table[[#This Row],[price]]</f>
        <v>0.3208242639674258</v>
      </c>
    </row>
    <row r="1275" spans="1:6" hidden="1" x14ac:dyDescent="0.2">
      <c r="A1275" t="s">
        <v>506</v>
      </c>
      <c r="B1275" t="s">
        <v>281</v>
      </c>
      <c r="C1275">
        <v>12.118337949117031</v>
      </c>
      <c r="D1275">
        <v>29.084011077880859</v>
      </c>
      <c r="E1275">
        <v>25.048740386962891</v>
      </c>
      <c r="F1275">
        <f>(Table[[#This Row],[price_lag]] - Table[[#This Row],[price]]) / Table[[#This Row],[price]]</f>
        <v>-0.13874532918146548</v>
      </c>
    </row>
    <row r="1276" spans="1:6" hidden="1" x14ac:dyDescent="0.2">
      <c r="A1276" t="s">
        <v>506</v>
      </c>
      <c r="B1276" t="s">
        <v>282</v>
      </c>
      <c r="C1276">
        <v>12.8206414442796</v>
      </c>
      <c r="D1276">
        <v>66.667335510253906</v>
      </c>
      <c r="E1276">
        <v>70.988723754882812</v>
      </c>
      <c r="F1276">
        <f>(Table[[#This Row],[price_lag]] - Table[[#This Row],[price]]) / Table[[#This Row],[price]]</f>
        <v>6.4820173351074553E-2</v>
      </c>
    </row>
    <row r="1277" spans="1:6" hidden="1" x14ac:dyDescent="0.2">
      <c r="A1277" t="s">
        <v>506</v>
      </c>
      <c r="B1277" t="s">
        <v>283</v>
      </c>
      <c r="C1277">
        <v>25.183129659513149</v>
      </c>
      <c r="D1277">
        <v>206.50166320800781</v>
      </c>
      <c r="E1277">
        <v>248.70179748535159</v>
      </c>
      <c r="F1277">
        <f>(Table[[#This Row],[price_lag]] - Table[[#This Row],[price]]) / Table[[#This Row],[price]]</f>
        <v>0.20435735781380052</v>
      </c>
    </row>
    <row r="1278" spans="1:6" hidden="1" x14ac:dyDescent="0.2">
      <c r="A1278" t="s">
        <v>506</v>
      </c>
      <c r="B1278" t="s">
        <v>284</v>
      </c>
      <c r="C1278">
        <v>22.72104428509089</v>
      </c>
      <c r="D1278">
        <v>230.84580993652341</v>
      </c>
      <c r="E1278">
        <v>261.13461303710938</v>
      </c>
      <c r="F1278">
        <f>(Table[[#This Row],[price_lag]] - Table[[#This Row],[price]]) / Table[[#This Row],[price]]</f>
        <v>0.13120793965857383</v>
      </c>
    </row>
    <row r="1279" spans="1:6" hidden="1" x14ac:dyDescent="0.2">
      <c r="A1279" t="s">
        <v>506</v>
      </c>
      <c r="B1279" t="s">
        <v>285</v>
      </c>
      <c r="C1279">
        <v>17.369631620553822</v>
      </c>
      <c r="D1279">
        <v>72.257667541503906</v>
      </c>
      <c r="E1279">
        <v>96.988487243652344</v>
      </c>
      <c r="F1279">
        <f>(Table[[#This Row],[price_lag]] - Table[[#This Row],[price]]) / Table[[#This Row],[price]]</f>
        <v>0.34225876012318501</v>
      </c>
    </row>
    <row r="1280" spans="1:6" hidden="1" x14ac:dyDescent="0.2">
      <c r="A1280" t="s">
        <v>506</v>
      </c>
      <c r="B1280" t="s">
        <v>286</v>
      </c>
      <c r="C1280">
        <v>12.68583223657701</v>
      </c>
      <c r="D1280">
        <v>52.265628814697273</v>
      </c>
      <c r="E1280">
        <v>51.207359313964837</v>
      </c>
      <c r="F1280">
        <f>(Table[[#This Row],[price_lag]] - Table[[#This Row],[price]]) / Table[[#This Row],[price]]</f>
        <v>-2.0247905262642647E-2</v>
      </c>
    </row>
    <row r="1281" spans="1:6" hidden="1" x14ac:dyDescent="0.2">
      <c r="A1281" t="s">
        <v>506</v>
      </c>
      <c r="B1281" t="s">
        <v>287</v>
      </c>
      <c r="C1281">
        <v>19.408227959457712</v>
      </c>
      <c r="D1281">
        <v>38.040126800537109</v>
      </c>
      <c r="E1281">
        <v>43.127040863037109</v>
      </c>
      <c r="F1281">
        <f>(Table[[#This Row],[price_lag]] - Table[[#This Row],[price]]) / Table[[#This Row],[price]]</f>
        <v>0.13372495021305172</v>
      </c>
    </row>
    <row r="1282" spans="1:6" hidden="1" x14ac:dyDescent="0.2">
      <c r="A1282" t="s">
        <v>506</v>
      </c>
      <c r="B1282" t="s">
        <v>288</v>
      </c>
      <c r="C1282">
        <v>12.005467568674391</v>
      </c>
      <c r="D1282">
        <v>133.98101806640619</v>
      </c>
      <c r="E1282">
        <v>157.06001281738281</v>
      </c>
      <c r="F1282">
        <f>(Table[[#This Row],[price_lag]] - Table[[#This Row],[price]]) / Table[[#This Row],[price]]</f>
        <v>0.17225570520398475</v>
      </c>
    </row>
    <row r="1283" spans="1:6" hidden="1" x14ac:dyDescent="0.2">
      <c r="A1283" t="s">
        <v>506</v>
      </c>
      <c r="B1283" t="s">
        <v>289</v>
      </c>
      <c r="C1283">
        <v>14.4477620416758</v>
      </c>
      <c r="D1283">
        <v>113.2704544067383</v>
      </c>
      <c r="E1283">
        <v>109.6633758544922</v>
      </c>
      <c r="F1283">
        <f>(Table[[#This Row],[price_lag]] - Table[[#This Row],[price]]) / Table[[#This Row],[price]]</f>
        <v>-3.184483165657287E-2</v>
      </c>
    </row>
    <row r="1284" spans="1:6" hidden="1" x14ac:dyDescent="0.2">
      <c r="A1284" t="s">
        <v>506</v>
      </c>
      <c r="B1284" t="s">
        <v>290</v>
      </c>
      <c r="C1284">
        <v>40.964789376497968</v>
      </c>
      <c r="D1284">
        <v>555.4825439453125</v>
      </c>
      <c r="E1284">
        <v>570.30389404296875</v>
      </c>
      <c r="F1284">
        <f>(Table[[#This Row],[price_lag]] - Table[[#This Row],[price]]) / Table[[#This Row],[price]]</f>
        <v>2.6681936739879657E-2</v>
      </c>
    </row>
    <row r="1285" spans="1:6" hidden="1" x14ac:dyDescent="0.2">
      <c r="A1285" t="s">
        <v>506</v>
      </c>
      <c r="B1285" t="s">
        <v>291</v>
      </c>
      <c r="C1285">
        <v>66.794408478642481</v>
      </c>
      <c r="D1285">
        <v>821.2081298828125</v>
      </c>
      <c r="E1285">
        <v>776.68096923828125</v>
      </c>
      <c r="F1285">
        <f>(Table[[#This Row],[price_lag]] - Table[[#This Row],[price]]) / Table[[#This Row],[price]]</f>
        <v>-5.4221529261875838E-2</v>
      </c>
    </row>
    <row r="1286" spans="1:6" hidden="1" x14ac:dyDescent="0.2">
      <c r="A1286" t="s">
        <v>506</v>
      </c>
      <c r="B1286" t="s">
        <v>292</v>
      </c>
      <c r="C1286">
        <v>32.647743981553212</v>
      </c>
      <c r="D1286">
        <v>460.98614501953119</v>
      </c>
      <c r="E1286">
        <v>465.97213745117188</v>
      </c>
      <c r="F1286">
        <f>(Table[[#This Row],[price_lag]] - Table[[#This Row],[price]]) / Table[[#This Row],[price]]</f>
        <v>1.0815926867887611E-2</v>
      </c>
    </row>
    <row r="1287" spans="1:6" hidden="1" x14ac:dyDescent="0.2">
      <c r="A1287" t="s">
        <v>506</v>
      </c>
      <c r="B1287" t="s">
        <v>293</v>
      </c>
      <c r="C1287">
        <v>0</v>
      </c>
      <c r="D1287">
        <v>130.58000183105469</v>
      </c>
      <c r="E1287">
        <v>151.2799987792969</v>
      </c>
      <c r="F1287">
        <f>(Table[[#This Row],[price_lag]] - Table[[#This Row],[price]]) / Table[[#This Row],[price]]</f>
        <v>0.15852348489797094</v>
      </c>
    </row>
    <row r="1288" spans="1:6" hidden="1" x14ac:dyDescent="0.2">
      <c r="A1288" t="s">
        <v>506</v>
      </c>
      <c r="B1288" t="s">
        <v>294</v>
      </c>
      <c r="C1288">
        <v>15.9279544536884</v>
      </c>
      <c r="D1288">
        <v>41.412681579589837</v>
      </c>
      <c r="E1288">
        <v>36.288303375244141</v>
      </c>
      <c r="F1288">
        <f>(Table[[#This Row],[price_lag]] - Table[[#This Row],[price]]) / Table[[#This Row],[price]]</f>
        <v>-0.12373934768018588</v>
      </c>
    </row>
    <row r="1289" spans="1:6" hidden="1" x14ac:dyDescent="0.2">
      <c r="A1289" t="s">
        <v>506</v>
      </c>
      <c r="B1289" t="s">
        <v>295</v>
      </c>
      <c r="C1289">
        <v>14.96993182456657</v>
      </c>
      <c r="D1289">
        <v>437.12200927734381</v>
      </c>
      <c r="E1289">
        <v>456.32110595703119</v>
      </c>
      <c r="F1289">
        <f>(Table[[#This Row],[price_lag]] - Table[[#This Row],[price]]) / Table[[#This Row],[price]]</f>
        <v>4.3921596881903981E-2</v>
      </c>
    </row>
    <row r="1290" spans="1:6" hidden="1" x14ac:dyDescent="0.2">
      <c r="A1290" t="s">
        <v>506</v>
      </c>
      <c r="B1290" t="s">
        <v>296</v>
      </c>
      <c r="C1290">
        <v>13.179759321541621</v>
      </c>
      <c r="D1290">
        <v>91.731124877929688</v>
      </c>
      <c r="E1290">
        <v>91.546363830566406</v>
      </c>
      <c r="F1290">
        <f>(Table[[#This Row],[price_lag]] - Table[[#This Row],[price]]) / Table[[#This Row],[price]]</f>
        <v>-2.0141587450186647E-3</v>
      </c>
    </row>
    <row r="1291" spans="1:6" hidden="1" x14ac:dyDescent="0.2">
      <c r="A1291" t="s">
        <v>506</v>
      </c>
      <c r="B1291" t="s">
        <v>297</v>
      </c>
      <c r="C1291">
        <v>19.507033833057811</v>
      </c>
      <c r="D1291">
        <v>228.6224365234375</v>
      </c>
      <c r="E1291">
        <v>218.6345520019531</v>
      </c>
      <c r="F1291">
        <f>(Table[[#This Row],[price_lag]] - Table[[#This Row],[price]]) / Table[[#This Row],[price]]</f>
        <v>-4.368724554495107E-2</v>
      </c>
    </row>
    <row r="1292" spans="1:6" hidden="1" x14ac:dyDescent="0.2">
      <c r="A1292" t="s">
        <v>506</v>
      </c>
      <c r="B1292" t="s">
        <v>298</v>
      </c>
      <c r="C1292">
        <v>27.113026586072198</v>
      </c>
      <c r="D1292">
        <v>283.05999755859381</v>
      </c>
      <c r="E1292">
        <v>237.58000183105469</v>
      </c>
      <c r="F1292">
        <f>(Table[[#This Row],[price_lag]] - Table[[#This Row],[price]]) / Table[[#This Row],[price]]</f>
        <v>-0.16067263520033309</v>
      </c>
    </row>
    <row r="1293" spans="1:6" hidden="1" x14ac:dyDescent="0.2">
      <c r="A1293" t="s">
        <v>506</v>
      </c>
      <c r="B1293" t="s">
        <v>299</v>
      </c>
      <c r="C1293">
        <v>30.192198576750581</v>
      </c>
      <c r="D1293">
        <v>65.21514892578125</v>
      </c>
      <c r="E1293">
        <v>54.930885314941413</v>
      </c>
      <c r="F1293">
        <f>(Table[[#This Row],[price_lag]] - Table[[#This Row],[price]]) / Table[[#This Row],[price]]</f>
        <v>-0.15769746416655347</v>
      </c>
    </row>
    <row r="1294" spans="1:6" hidden="1" x14ac:dyDescent="0.2">
      <c r="A1294" t="s">
        <v>506</v>
      </c>
      <c r="B1294" t="s">
        <v>300</v>
      </c>
      <c r="C1294">
        <v>13.11713668319198</v>
      </c>
      <c r="D1294">
        <v>174.72026062011719</v>
      </c>
      <c r="E1294">
        <v>191.02870178222659</v>
      </c>
      <c r="F1294">
        <f>(Table[[#This Row],[price_lag]] - Table[[#This Row],[price]]) / Table[[#This Row],[price]]</f>
        <v>9.3340297823660975E-2</v>
      </c>
    </row>
    <row r="1295" spans="1:6" hidden="1" x14ac:dyDescent="0.2">
      <c r="A1295" t="s">
        <v>506</v>
      </c>
      <c r="B1295" t="s">
        <v>301</v>
      </c>
      <c r="C1295">
        <v>0</v>
      </c>
      <c r="D1295">
        <v>143.34550476074219</v>
      </c>
      <c r="E1295">
        <v>164.36286926269531</v>
      </c>
      <c r="F1295">
        <f>(Table[[#This Row],[price_lag]] - Table[[#This Row],[price]]) / Table[[#This Row],[price]]</f>
        <v>0.14662032504634995</v>
      </c>
    </row>
    <row r="1296" spans="1:6" hidden="1" x14ac:dyDescent="0.2">
      <c r="A1296" t="s">
        <v>506</v>
      </c>
      <c r="B1296" t="s">
        <v>302</v>
      </c>
      <c r="C1296">
        <v>133.61946105957031</v>
      </c>
      <c r="D1296">
        <v>213.7911376953125</v>
      </c>
      <c r="E1296">
        <v>221.4542541503906</v>
      </c>
      <c r="F1296">
        <f>(Table[[#This Row],[price_lag]] - Table[[#This Row],[price]]) / Table[[#This Row],[price]]</f>
        <v>3.5843938797871483E-2</v>
      </c>
    </row>
    <row r="1297" spans="1:6" hidden="1" x14ac:dyDescent="0.2">
      <c r="A1297" t="s">
        <v>506</v>
      </c>
      <c r="B1297" t="s">
        <v>303</v>
      </c>
      <c r="C1297">
        <v>24.627612431844081</v>
      </c>
      <c r="D1297">
        <v>236.4250793457031</v>
      </c>
      <c r="E1297">
        <v>271.8729248046875</v>
      </c>
      <c r="F1297">
        <f>(Table[[#This Row],[price_lag]] - Table[[#This Row],[price]]) / Table[[#This Row],[price]]</f>
        <v>0.14993267870348143</v>
      </c>
    </row>
    <row r="1298" spans="1:6" hidden="1" x14ac:dyDescent="0.2">
      <c r="A1298" t="s">
        <v>506</v>
      </c>
      <c r="B1298" t="s">
        <v>304</v>
      </c>
      <c r="C1298">
        <v>21.44907208099908</v>
      </c>
      <c r="D1298">
        <v>241.08757019042969</v>
      </c>
      <c r="E1298">
        <v>216.72868347167969</v>
      </c>
      <c r="F1298">
        <f>(Table[[#This Row],[price_lag]] - Table[[#This Row],[price]]) / Table[[#This Row],[price]]</f>
        <v>-0.10103750558151738</v>
      </c>
    </row>
    <row r="1299" spans="1:6" hidden="1" x14ac:dyDescent="0.2">
      <c r="A1299" t="s">
        <v>506</v>
      </c>
      <c r="B1299" t="s">
        <v>305</v>
      </c>
      <c r="C1299">
        <v>62.324907392731511</v>
      </c>
      <c r="D1299">
        <v>476.16229248046881</v>
      </c>
      <c r="E1299">
        <v>547.49072265625</v>
      </c>
      <c r="F1299">
        <f>(Table[[#This Row],[price_lag]] - Table[[#This Row],[price]]) / Table[[#This Row],[price]]</f>
        <v>0.14979856931595847</v>
      </c>
    </row>
    <row r="1300" spans="1:6" hidden="1" x14ac:dyDescent="0.2">
      <c r="A1300" t="s">
        <v>506</v>
      </c>
      <c r="B1300" t="s">
        <v>306</v>
      </c>
      <c r="C1300">
        <v>19.433565414886651</v>
      </c>
      <c r="D1300">
        <v>68.542884826660156</v>
      </c>
      <c r="E1300">
        <v>63.752464294433587</v>
      </c>
      <c r="F1300">
        <f>(Table[[#This Row],[price_lag]] - Table[[#This Row],[price]]) / Table[[#This Row],[price]]</f>
        <v>-6.9889391792323674E-2</v>
      </c>
    </row>
    <row r="1301" spans="1:6" hidden="1" x14ac:dyDescent="0.2">
      <c r="A1301" t="s">
        <v>506</v>
      </c>
      <c r="B1301" t="s">
        <v>307</v>
      </c>
      <c r="C1301">
        <v>37.845374213324646</v>
      </c>
      <c r="D1301">
        <v>544.973388671875</v>
      </c>
      <c r="E1301">
        <v>559.6002197265625</v>
      </c>
      <c r="F1301">
        <f>(Table[[#This Row],[price_lag]] - Table[[#This Row],[price]]) / Table[[#This Row],[price]]</f>
        <v>2.6839532642747483E-2</v>
      </c>
    </row>
    <row r="1302" spans="1:6" hidden="1" x14ac:dyDescent="0.2">
      <c r="A1302" t="s">
        <v>506</v>
      </c>
      <c r="B1302" t="s">
        <v>308</v>
      </c>
      <c r="C1302">
        <v>16.213833017552151</v>
      </c>
      <c r="D1302">
        <v>30.48200607299805</v>
      </c>
      <c r="E1302">
        <v>30.36244964599609</v>
      </c>
      <c r="F1302">
        <f>(Table[[#This Row],[price_lag]] - Table[[#This Row],[price]]) / Table[[#This Row],[price]]</f>
        <v>-3.9221968106576549E-3</v>
      </c>
    </row>
    <row r="1303" spans="1:6" hidden="1" x14ac:dyDescent="0.2">
      <c r="A1303" t="s">
        <v>506</v>
      </c>
      <c r="B1303" t="s">
        <v>309</v>
      </c>
      <c r="C1303">
        <v>33.422133127848312</v>
      </c>
      <c r="D1303">
        <v>80.213119506835938</v>
      </c>
      <c r="E1303">
        <v>74.325889587402344</v>
      </c>
      <c r="F1303">
        <f>(Table[[#This Row],[price_lag]] - Table[[#This Row],[price]]) / Table[[#This Row],[price]]</f>
        <v>-7.3394850563465133E-2</v>
      </c>
    </row>
    <row r="1304" spans="1:6" hidden="1" x14ac:dyDescent="0.2">
      <c r="A1304" t="s">
        <v>506</v>
      </c>
      <c r="B1304" t="s">
        <v>310</v>
      </c>
      <c r="C1304">
        <v>29.379553476079661</v>
      </c>
      <c r="D1304">
        <v>307.0125732421875</v>
      </c>
      <c r="E1304">
        <v>288.78768920898438</v>
      </c>
      <c r="F1304">
        <f>(Table[[#This Row],[price_lag]] - Table[[#This Row],[price]]) / Table[[#This Row],[price]]</f>
        <v>-5.9362011922640012E-2</v>
      </c>
    </row>
    <row r="1305" spans="1:6" hidden="1" x14ac:dyDescent="0.2">
      <c r="A1305" t="s">
        <v>506</v>
      </c>
      <c r="B1305" t="s">
        <v>311</v>
      </c>
      <c r="C1305">
        <v>16.67241727855523</v>
      </c>
      <c r="D1305">
        <v>670.8980712890625</v>
      </c>
      <c r="E1305">
        <v>731.22381591796875</v>
      </c>
      <c r="F1305">
        <f>(Table[[#This Row],[price_lag]] - Table[[#This Row],[price]]) / Table[[#This Row],[price]]</f>
        <v>8.9917898426800452E-2</v>
      </c>
    </row>
    <row r="1306" spans="1:6" hidden="1" x14ac:dyDescent="0.2">
      <c r="A1306" t="s">
        <v>506</v>
      </c>
      <c r="B1306" t="s">
        <v>312</v>
      </c>
      <c r="C1306">
        <v>26.96606240621427</v>
      </c>
      <c r="D1306">
        <v>88.448684692382812</v>
      </c>
      <c r="E1306">
        <v>86.513679504394531</v>
      </c>
      <c r="F1306">
        <f>(Table[[#This Row],[price_lag]] - Table[[#This Row],[price]]) / Table[[#This Row],[price]]</f>
        <v>-2.1877150516348195E-2</v>
      </c>
    </row>
    <row r="1307" spans="1:6" hidden="1" x14ac:dyDescent="0.2">
      <c r="A1307" t="s">
        <v>506</v>
      </c>
      <c r="B1307" t="s">
        <v>313</v>
      </c>
      <c r="C1307">
        <v>10.806313962953389</v>
      </c>
      <c r="D1307">
        <v>87.255149841308594</v>
      </c>
      <c r="E1307">
        <v>77.721420288085938</v>
      </c>
      <c r="F1307">
        <f>(Table[[#This Row],[price_lag]] - Table[[#This Row],[price]]) / Table[[#This Row],[price]]</f>
        <v>-0.10926265751146724</v>
      </c>
    </row>
    <row r="1308" spans="1:6" hidden="1" x14ac:dyDescent="0.2">
      <c r="A1308" t="s">
        <v>506</v>
      </c>
      <c r="B1308" t="s">
        <v>314</v>
      </c>
      <c r="C1308">
        <v>21.815608810401649</v>
      </c>
      <c r="D1308">
        <v>575.0594482421875</v>
      </c>
      <c r="E1308">
        <v>736.9910888671875</v>
      </c>
      <c r="F1308">
        <f>(Table[[#This Row],[price_lag]] - Table[[#This Row],[price]]) / Table[[#This Row],[price]]</f>
        <v>0.28159113135169661</v>
      </c>
    </row>
    <row r="1309" spans="1:6" hidden="1" x14ac:dyDescent="0.2">
      <c r="A1309" t="s">
        <v>506</v>
      </c>
      <c r="B1309" t="s">
        <v>315</v>
      </c>
      <c r="C1309">
        <v>15.238944073348319</v>
      </c>
      <c r="D1309">
        <v>78.528717041015625</v>
      </c>
      <c r="E1309">
        <v>79.237274169921875</v>
      </c>
      <c r="F1309">
        <f>(Table[[#This Row],[price_lag]] - Table[[#This Row],[price]]) / Table[[#This Row],[price]]</f>
        <v>9.0229046851251875E-3</v>
      </c>
    </row>
    <row r="1310" spans="1:6" hidden="1" x14ac:dyDescent="0.2">
      <c r="A1310" t="s">
        <v>506</v>
      </c>
      <c r="B1310" t="s">
        <v>316</v>
      </c>
      <c r="C1310">
        <v>37.656569967464527</v>
      </c>
      <c r="D1310">
        <v>1180.910034179688</v>
      </c>
      <c r="E1310">
        <v>1174.719970703125</v>
      </c>
      <c r="F1310">
        <f>(Table[[#This Row],[price_lag]] - Table[[#This Row],[price]]) / Table[[#This Row],[price]]</f>
        <v>-5.241773968719679E-3</v>
      </c>
    </row>
    <row r="1311" spans="1:6" hidden="1" x14ac:dyDescent="0.2">
      <c r="A1311" t="s">
        <v>506</v>
      </c>
      <c r="B1311" t="s">
        <v>317</v>
      </c>
      <c r="C1311">
        <v>14.24999970656175</v>
      </c>
      <c r="D1311">
        <v>29.639999389648441</v>
      </c>
      <c r="E1311">
        <v>34.389999389648438</v>
      </c>
      <c r="F1311">
        <f>(Table[[#This Row],[price_lag]] - Table[[#This Row],[price]]) / Table[[#This Row],[price]]</f>
        <v>0.1602564135564355</v>
      </c>
    </row>
    <row r="1312" spans="1:6" hidden="1" x14ac:dyDescent="0.2">
      <c r="A1312" t="s">
        <v>506</v>
      </c>
      <c r="B1312" t="s">
        <v>318</v>
      </c>
      <c r="C1312">
        <v>0</v>
      </c>
      <c r="D1312">
        <v>47.281112670898438</v>
      </c>
      <c r="E1312">
        <v>69.260902404785156</v>
      </c>
      <c r="F1312">
        <f>(Table[[#This Row],[price_lag]] - Table[[#This Row],[price]]) / Table[[#This Row],[price]]</f>
        <v>0.46487462947155422</v>
      </c>
    </row>
    <row r="1313" spans="1:6" hidden="1" x14ac:dyDescent="0.2">
      <c r="A1313" t="s">
        <v>506</v>
      </c>
      <c r="B1313" t="s">
        <v>319</v>
      </c>
      <c r="C1313">
        <v>15.267416457055321</v>
      </c>
      <c r="D1313">
        <v>86.718925476074219</v>
      </c>
      <c r="E1313">
        <v>123.00733947753911</v>
      </c>
      <c r="F1313">
        <f>(Table[[#This Row],[price_lag]] - Table[[#This Row],[price]]) / Table[[#This Row],[price]]</f>
        <v>0.41846014352976357</v>
      </c>
    </row>
    <row r="1314" spans="1:6" hidden="1" x14ac:dyDescent="0.2">
      <c r="A1314" t="s">
        <v>506</v>
      </c>
      <c r="B1314" t="s">
        <v>320</v>
      </c>
      <c r="C1314">
        <v>26.901176958331451</v>
      </c>
      <c r="D1314">
        <v>373.38833618164062</v>
      </c>
      <c r="E1314">
        <v>495.66595458984381</v>
      </c>
      <c r="F1314">
        <f>(Table[[#This Row],[price_lag]] - Table[[#This Row],[price]]) / Table[[#This Row],[price]]</f>
        <v>0.32748108754184357</v>
      </c>
    </row>
    <row r="1315" spans="1:6" hidden="1" x14ac:dyDescent="0.2">
      <c r="A1315" t="s">
        <v>506</v>
      </c>
      <c r="B1315" t="s">
        <v>321</v>
      </c>
      <c r="C1315">
        <v>25.908070225869459</v>
      </c>
      <c r="D1315">
        <v>160.6300354003906</v>
      </c>
      <c r="E1315">
        <v>143.24139404296881</v>
      </c>
      <c r="F1315">
        <f>(Table[[#This Row],[price_lag]] - Table[[#This Row],[price]]) / Table[[#This Row],[price]]</f>
        <v>-0.10825273937142833</v>
      </c>
    </row>
    <row r="1316" spans="1:6" hidden="1" x14ac:dyDescent="0.2">
      <c r="A1316" t="s">
        <v>506</v>
      </c>
      <c r="B1316" t="s">
        <v>322</v>
      </c>
      <c r="C1316">
        <v>0</v>
      </c>
      <c r="D1316">
        <v>28.35000038146973</v>
      </c>
      <c r="E1316">
        <v>27.590000152587891</v>
      </c>
      <c r="F1316">
        <f>(Table[[#This Row],[price_lag]] - Table[[#This Row],[price]]) / Table[[#This Row],[price]]</f>
        <v>-2.6807767853809082E-2</v>
      </c>
    </row>
    <row r="1317" spans="1:6" hidden="1" x14ac:dyDescent="0.2">
      <c r="A1317" t="s">
        <v>506</v>
      </c>
      <c r="B1317" t="s">
        <v>323</v>
      </c>
      <c r="C1317">
        <v>24.607758686460301</v>
      </c>
      <c r="D1317">
        <v>114.1800003051758</v>
      </c>
      <c r="E1317">
        <v>104.8399963378906</v>
      </c>
      <c r="F1317">
        <f>(Table[[#This Row],[price_lag]] - Table[[#This Row],[price]]) / Table[[#This Row],[price]]</f>
        <v>-8.180070014294627E-2</v>
      </c>
    </row>
    <row r="1318" spans="1:6" hidden="1" x14ac:dyDescent="0.2">
      <c r="A1318" t="s">
        <v>506</v>
      </c>
      <c r="B1318" t="s">
        <v>324</v>
      </c>
      <c r="C1318">
        <v>14.922029563023949</v>
      </c>
      <c r="D1318">
        <v>329.3900146484375</v>
      </c>
      <c r="E1318">
        <v>297.89999389648438</v>
      </c>
      <c r="F1318">
        <f>(Table[[#This Row],[price_lag]] - Table[[#This Row],[price]]) / Table[[#This Row],[price]]</f>
        <v>-9.5601018098750989E-2</v>
      </c>
    </row>
    <row r="1319" spans="1:6" hidden="1" x14ac:dyDescent="0.2">
      <c r="A1319" t="s">
        <v>506</v>
      </c>
      <c r="B1319" t="s">
        <v>325</v>
      </c>
      <c r="C1319">
        <v>24.63919639587402</v>
      </c>
      <c r="D1319">
        <v>59.134071350097663</v>
      </c>
      <c r="E1319">
        <v>47.145820617675781</v>
      </c>
      <c r="F1319">
        <f>(Table[[#This Row],[price_lag]] - Table[[#This Row],[price]]) / Table[[#This Row],[price]]</f>
        <v>-0.20273000756952081</v>
      </c>
    </row>
    <row r="1320" spans="1:6" hidden="1" x14ac:dyDescent="0.2">
      <c r="A1320" t="s">
        <v>506</v>
      </c>
      <c r="B1320" t="s">
        <v>326</v>
      </c>
      <c r="C1320">
        <v>53.412775839528727</v>
      </c>
      <c r="D1320">
        <v>66.231842041015625</v>
      </c>
      <c r="E1320">
        <v>66.291297912597656</v>
      </c>
      <c r="F1320">
        <f>(Table[[#This Row],[price_lag]] - Table[[#This Row],[price]]) / Table[[#This Row],[price]]</f>
        <v>8.9769316011491576E-4</v>
      </c>
    </row>
    <row r="1321" spans="1:6" hidden="1" x14ac:dyDescent="0.2">
      <c r="A1321" t="s">
        <v>506</v>
      </c>
      <c r="B1321" t="s">
        <v>327</v>
      </c>
      <c r="C1321">
        <v>51.49615151541574</v>
      </c>
      <c r="D1321">
        <v>576.75689697265625</v>
      </c>
      <c r="E1321">
        <v>728.8603515625</v>
      </c>
      <c r="F1321">
        <f>(Table[[#This Row],[price_lag]] - Table[[#This Row],[price]]) / Table[[#This Row],[price]]</f>
        <v>0.26372195181058217</v>
      </c>
    </row>
    <row r="1322" spans="1:6" hidden="1" x14ac:dyDescent="0.2">
      <c r="A1322" t="s">
        <v>506</v>
      </c>
      <c r="B1322" t="s">
        <v>328</v>
      </c>
      <c r="C1322">
        <v>32.511111365424263</v>
      </c>
      <c r="D1322">
        <v>58.520000457763672</v>
      </c>
      <c r="E1322">
        <v>62.639999389648438</v>
      </c>
      <c r="F1322">
        <f>(Table[[#This Row],[price_lag]] - Table[[#This Row],[price]]) / Table[[#This Row],[price]]</f>
        <v>7.0403262126738031E-2</v>
      </c>
    </row>
    <row r="1323" spans="1:6" hidden="1" x14ac:dyDescent="0.2">
      <c r="A1323" t="s">
        <v>506</v>
      </c>
      <c r="B1323" t="s">
        <v>329</v>
      </c>
      <c r="C1323">
        <v>33.359841998097529</v>
      </c>
      <c r="D1323">
        <v>463.03460693359381</v>
      </c>
      <c r="E1323">
        <v>499.69375610351562</v>
      </c>
      <c r="F1323">
        <f>(Table[[#This Row],[price_lag]] - Table[[#This Row],[price]]) / Table[[#This Row],[price]]</f>
        <v>7.9171510338490306E-2</v>
      </c>
    </row>
    <row r="1324" spans="1:6" hidden="1" x14ac:dyDescent="0.2">
      <c r="A1324" t="s">
        <v>506</v>
      </c>
      <c r="B1324" t="s">
        <v>330</v>
      </c>
      <c r="C1324">
        <v>10.90145620680947</v>
      </c>
      <c r="D1324">
        <v>114.2472610473633</v>
      </c>
      <c r="E1324">
        <v>139.04168701171881</v>
      </c>
      <c r="F1324">
        <f>(Table[[#This Row],[price_lag]] - Table[[#This Row],[price]]) / Table[[#This Row],[price]]</f>
        <v>0.21702424843319901</v>
      </c>
    </row>
    <row r="1325" spans="1:6" hidden="1" x14ac:dyDescent="0.2">
      <c r="A1325" t="s">
        <v>506</v>
      </c>
      <c r="B1325" t="s">
        <v>331</v>
      </c>
      <c r="C1325">
        <v>8.8080895741780605</v>
      </c>
      <c r="D1325">
        <v>26.42426872253418</v>
      </c>
      <c r="E1325">
        <v>35.903427124023438</v>
      </c>
      <c r="F1325">
        <f>(Table[[#This Row],[price_lag]] - Table[[#This Row],[price]]) / Table[[#This Row],[price]]</f>
        <v>0.35872926138559846</v>
      </c>
    </row>
    <row r="1326" spans="1:6" hidden="1" x14ac:dyDescent="0.2">
      <c r="A1326" t="s">
        <v>506</v>
      </c>
      <c r="B1326" t="s">
        <v>332</v>
      </c>
      <c r="C1326">
        <v>42.075699798820551</v>
      </c>
      <c r="D1326">
        <v>434.22122192382812</v>
      </c>
      <c r="E1326">
        <v>418.11676025390619</v>
      </c>
      <c r="F1326">
        <f>(Table[[#This Row],[price_lag]] - Table[[#This Row],[price]]) / Table[[#This Row],[price]]</f>
        <v>-3.7088149673041561E-2</v>
      </c>
    </row>
    <row r="1327" spans="1:6" hidden="1" x14ac:dyDescent="0.2">
      <c r="A1327" t="s">
        <v>506</v>
      </c>
      <c r="B1327" t="s">
        <v>333</v>
      </c>
      <c r="C1327">
        <v>37.646041377898193</v>
      </c>
      <c r="D1327">
        <v>560.173095703125</v>
      </c>
      <c r="E1327">
        <v>573.0999755859375</v>
      </c>
      <c r="F1327">
        <f>(Table[[#This Row],[price_lag]] - Table[[#This Row],[price]]) / Table[[#This Row],[price]]</f>
        <v>2.3076581117461165E-2</v>
      </c>
    </row>
    <row r="1328" spans="1:6" hidden="1" x14ac:dyDescent="0.2">
      <c r="A1328" t="s">
        <v>506</v>
      </c>
      <c r="B1328" t="s">
        <v>334</v>
      </c>
      <c r="C1328">
        <v>27.241242450216539</v>
      </c>
      <c r="D1328">
        <v>75.185829162597656</v>
      </c>
      <c r="E1328">
        <v>88.90155029296875</v>
      </c>
      <c r="F1328">
        <f>(Table[[#This Row],[price_lag]] - Table[[#This Row],[price]]) / Table[[#This Row],[price]]</f>
        <v>0.18242428504325373</v>
      </c>
    </row>
    <row r="1329" spans="1:6" hidden="1" x14ac:dyDescent="0.2">
      <c r="A1329" t="s">
        <v>506</v>
      </c>
      <c r="B1329" t="s">
        <v>335</v>
      </c>
      <c r="C1329">
        <v>12.883597505306771</v>
      </c>
      <c r="D1329">
        <v>86.062431335449219</v>
      </c>
      <c r="E1329">
        <v>105.06325531005859</v>
      </c>
      <c r="F1329">
        <f>(Table[[#This Row],[price_lag]] - Table[[#This Row],[price]]) / Table[[#This Row],[price]]</f>
        <v>0.22077953968728878</v>
      </c>
    </row>
    <row r="1330" spans="1:6" hidden="1" x14ac:dyDescent="0.2">
      <c r="A1330" t="s">
        <v>506</v>
      </c>
      <c r="B1330" t="s">
        <v>336</v>
      </c>
      <c r="C1330">
        <v>34.487055603569083</v>
      </c>
      <c r="D1330">
        <v>93.252998352050781</v>
      </c>
      <c r="E1330">
        <v>133.9129943847656</v>
      </c>
      <c r="F1330">
        <f>(Table[[#This Row],[price_lag]] - Table[[#This Row],[price]]) / Table[[#This Row],[price]]</f>
        <v>0.43601810935037499</v>
      </c>
    </row>
    <row r="1331" spans="1:6" hidden="1" x14ac:dyDescent="0.2">
      <c r="A1331" t="s">
        <v>506</v>
      </c>
      <c r="B1331" t="s">
        <v>337</v>
      </c>
      <c r="C1331">
        <v>7.1066873414175857</v>
      </c>
      <c r="D1331">
        <v>47.756938934326172</v>
      </c>
      <c r="E1331">
        <v>57.898609161376953</v>
      </c>
      <c r="F1331">
        <f>(Table[[#This Row],[price_lag]] - Table[[#This Row],[price]]) / Table[[#This Row],[price]]</f>
        <v>0.21236013976937015</v>
      </c>
    </row>
    <row r="1332" spans="1:6" hidden="1" x14ac:dyDescent="0.2">
      <c r="A1332" t="s">
        <v>506</v>
      </c>
      <c r="B1332" t="s">
        <v>338</v>
      </c>
      <c r="C1332">
        <v>37.67704963684082</v>
      </c>
      <c r="D1332">
        <v>27.127475738525391</v>
      </c>
      <c r="E1332">
        <v>29.618978500366211</v>
      </c>
      <c r="F1332">
        <f>(Table[[#This Row],[price_lag]] - Table[[#This Row],[price]]) / Table[[#This Row],[price]]</f>
        <v>9.1844253621522348E-2</v>
      </c>
    </row>
    <row r="1333" spans="1:6" hidden="1" x14ac:dyDescent="0.2">
      <c r="A1333" t="s">
        <v>506</v>
      </c>
      <c r="B1333" t="s">
        <v>339</v>
      </c>
      <c r="C1333">
        <v>42.050570911831329</v>
      </c>
      <c r="D1333">
        <v>30.276411056518551</v>
      </c>
      <c r="E1333">
        <v>34.204269409179688</v>
      </c>
      <c r="F1333">
        <f>(Table[[#This Row],[price_lag]] - Table[[#This Row],[price]]) / Table[[#This Row],[price]]</f>
        <v>0.12973328791608751</v>
      </c>
    </row>
    <row r="1334" spans="1:6" hidden="1" x14ac:dyDescent="0.2">
      <c r="A1334" t="s">
        <v>506</v>
      </c>
      <c r="B1334" t="s">
        <v>340</v>
      </c>
      <c r="C1334">
        <v>42.823483340006128</v>
      </c>
      <c r="D1334">
        <v>69.312034606933594</v>
      </c>
      <c r="E1334">
        <v>68.423965454101562</v>
      </c>
      <c r="F1334">
        <f>(Table[[#This Row],[price_lag]] - Table[[#This Row],[price]]) / Table[[#This Row],[price]]</f>
        <v>-1.2812625655389341E-2</v>
      </c>
    </row>
    <row r="1335" spans="1:6" hidden="1" x14ac:dyDescent="0.2">
      <c r="A1335" t="s">
        <v>506</v>
      </c>
      <c r="B1335" t="s">
        <v>341</v>
      </c>
      <c r="C1335">
        <v>28.859685968469691</v>
      </c>
      <c r="D1335">
        <v>62.336921691894531</v>
      </c>
      <c r="E1335">
        <v>70.224388122558594</v>
      </c>
      <c r="F1335">
        <f>(Table[[#This Row],[price_lag]] - Table[[#This Row],[price]]) / Table[[#This Row],[price]]</f>
        <v>0.12652961064790025</v>
      </c>
    </row>
    <row r="1336" spans="1:6" hidden="1" x14ac:dyDescent="0.2">
      <c r="A1336" t="s">
        <v>506</v>
      </c>
      <c r="B1336" t="s">
        <v>342</v>
      </c>
      <c r="C1336">
        <v>9.7232998007594951</v>
      </c>
      <c r="D1336">
        <v>39.282131195068359</v>
      </c>
      <c r="E1336">
        <v>39.807704925537109</v>
      </c>
      <c r="F1336">
        <f>(Table[[#This Row],[price_lag]] - Table[[#This Row],[price]]) / Table[[#This Row],[price]]</f>
        <v>1.3379460698271195E-2</v>
      </c>
    </row>
    <row r="1337" spans="1:6" hidden="1" x14ac:dyDescent="0.2">
      <c r="A1337" t="s">
        <v>506</v>
      </c>
      <c r="B1337" t="s">
        <v>343</v>
      </c>
      <c r="C1337">
        <v>25.196191036339961</v>
      </c>
      <c r="D1337">
        <v>199.5538330078125</v>
      </c>
      <c r="E1337">
        <v>212.84332275390619</v>
      </c>
      <c r="F1337">
        <f>(Table[[#This Row],[price_lag]] - Table[[#This Row],[price]]) / Table[[#This Row],[price]]</f>
        <v>6.6596013445521796E-2</v>
      </c>
    </row>
    <row r="1338" spans="1:6" hidden="1" x14ac:dyDescent="0.2">
      <c r="A1338" t="s">
        <v>506</v>
      </c>
      <c r="B1338" t="s">
        <v>344</v>
      </c>
      <c r="C1338">
        <v>17.520263362697449</v>
      </c>
      <c r="D1338">
        <v>233.14396667480469</v>
      </c>
      <c r="E1338">
        <v>253.50798034667969</v>
      </c>
      <c r="F1338">
        <f>(Table[[#This Row],[price_lag]] - Table[[#This Row],[price]]) / Table[[#This Row],[price]]</f>
        <v>8.7345231199052464E-2</v>
      </c>
    </row>
    <row r="1339" spans="1:6" hidden="1" x14ac:dyDescent="0.2">
      <c r="A1339" t="s">
        <v>506</v>
      </c>
      <c r="B1339" t="s">
        <v>345</v>
      </c>
      <c r="C1339">
        <v>12.665611786368011</v>
      </c>
      <c r="D1339">
        <v>96.765274047851562</v>
      </c>
      <c r="E1339">
        <v>125.2499465942383</v>
      </c>
      <c r="F1339">
        <f>(Table[[#This Row],[price_lag]] - Table[[#This Row],[price]]) / Table[[#This Row],[price]]</f>
        <v>0.29436874774209526</v>
      </c>
    </row>
    <row r="1340" spans="1:6" hidden="1" x14ac:dyDescent="0.2">
      <c r="A1340" t="s">
        <v>506</v>
      </c>
      <c r="B1340" t="s">
        <v>346</v>
      </c>
      <c r="C1340">
        <v>37.952425386812592</v>
      </c>
      <c r="D1340">
        <v>505.52630615234381</v>
      </c>
      <c r="E1340">
        <v>496.01220703125</v>
      </c>
      <c r="F1340">
        <f>(Table[[#This Row],[price_lag]] - Table[[#This Row],[price]]) / Table[[#This Row],[price]]</f>
        <v>-1.882018602257796E-2</v>
      </c>
    </row>
    <row r="1341" spans="1:6" hidden="1" x14ac:dyDescent="0.2">
      <c r="A1341" t="s">
        <v>506</v>
      </c>
      <c r="B1341" t="s">
        <v>347</v>
      </c>
      <c r="C1341">
        <v>0</v>
      </c>
      <c r="D1341">
        <v>18.95999908447266</v>
      </c>
      <c r="E1341">
        <v>20.280000686645511</v>
      </c>
      <c r="F1341">
        <f>(Table[[#This Row],[price_lag]] - Table[[#This Row],[price]]) / Table[[#This Row],[price]]</f>
        <v>6.9620341029123275E-2</v>
      </c>
    </row>
    <row r="1342" spans="1:6" hidden="1" x14ac:dyDescent="0.2">
      <c r="A1342" t="s">
        <v>506</v>
      </c>
      <c r="B1342" t="s">
        <v>348</v>
      </c>
      <c r="C1342">
        <v>6.39079119708087</v>
      </c>
      <c r="D1342">
        <v>94.583709716796875</v>
      </c>
      <c r="E1342">
        <v>159.74739074707031</v>
      </c>
      <c r="F1342">
        <f>(Table[[#This Row],[price_lag]] - Table[[#This Row],[price]]) / Table[[#This Row],[price]]</f>
        <v>0.68895247633431733</v>
      </c>
    </row>
    <row r="1343" spans="1:6" hidden="1" x14ac:dyDescent="0.2">
      <c r="A1343" t="s">
        <v>506</v>
      </c>
      <c r="B1343" t="s">
        <v>349</v>
      </c>
      <c r="C1343">
        <v>44.383020543340422</v>
      </c>
      <c r="D1343">
        <v>118.9464950561523</v>
      </c>
      <c r="E1343">
        <v>128.57801818847659</v>
      </c>
      <c r="F1343">
        <f>(Table[[#This Row],[price_lag]] - Table[[#This Row],[price]]) / Table[[#This Row],[price]]</f>
        <v>8.0973576630210389E-2</v>
      </c>
    </row>
    <row r="1344" spans="1:6" hidden="1" x14ac:dyDescent="0.2">
      <c r="A1344" t="s">
        <v>506</v>
      </c>
      <c r="B1344" t="s">
        <v>350</v>
      </c>
      <c r="C1344">
        <v>35.181924894258572</v>
      </c>
      <c r="D1344">
        <v>108.36032867431641</v>
      </c>
      <c r="E1344">
        <v>157.97230529785159</v>
      </c>
      <c r="F1344">
        <f>(Table[[#This Row],[price_lag]] - Table[[#This Row],[price]]) / Table[[#This Row],[price]]</f>
        <v>0.4578426185162931</v>
      </c>
    </row>
    <row r="1345" spans="1:6" hidden="1" x14ac:dyDescent="0.2">
      <c r="A1345" t="s">
        <v>506</v>
      </c>
      <c r="B1345" t="s">
        <v>351</v>
      </c>
      <c r="C1345">
        <v>18.037023545261309</v>
      </c>
      <c r="D1345">
        <v>7244.39013671875</v>
      </c>
      <c r="E1345">
        <v>7385.66015625</v>
      </c>
      <c r="F1345">
        <f>(Table[[#This Row],[price_lag]] - Table[[#This Row],[price]]) / Table[[#This Row],[price]]</f>
        <v>1.9500609004367672E-2</v>
      </c>
    </row>
    <row r="1346" spans="1:6" hidden="1" x14ac:dyDescent="0.2">
      <c r="A1346" t="s">
        <v>506</v>
      </c>
      <c r="B1346" t="s">
        <v>352</v>
      </c>
      <c r="C1346">
        <v>24.28402875989212</v>
      </c>
      <c r="D1346">
        <v>187.47270202636719</v>
      </c>
      <c r="E1346">
        <v>216.52044677734381</v>
      </c>
      <c r="F1346">
        <f>(Table[[#This Row],[price_lag]] - Table[[#This Row],[price]]) / Table[[#This Row],[price]]</f>
        <v>0.15494386349054268</v>
      </c>
    </row>
    <row r="1347" spans="1:6" hidden="1" x14ac:dyDescent="0.2">
      <c r="A1347" t="s">
        <v>506</v>
      </c>
      <c r="B1347" t="s">
        <v>353</v>
      </c>
      <c r="C1347">
        <v>38.100511494452931</v>
      </c>
      <c r="D1347">
        <v>95.505332946777344</v>
      </c>
      <c r="E1347">
        <v>90.129997253417969</v>
      </c>
      <c r="F1347">
        <f>(Table[[#This Row],[price_lag]] - Table[[#This Row],[price]]) / Table[[#This Row],[price]]</f>
        <v>-5.6283094645143125E-2</v>
      </c>
    </row>
    <row r="1348" spans="1:6" hidden="1" x14ac:dyDescent="0.2">
      <c r="A1348" t="s">
        <v>506</v>
      </c>
      <c r="B1348" t="s">
        <v>354</v>
      </c>
      <c r="C1348">
        <v>14.982416600356871</v>
      </c>
      <c r="D1348">
        <v>48.54302978515625</v>
      </c>
      <c r="E1348">
        <v>41.545272827148438</v>
      </c>
      <c r="F1348">
        <f>(Table[[#This Row],[price_lag]] - Table[[#This Row],[price]]) / Table[[#This Row],[price]]</f>
        <v>-0.14415575189638502</v>
      </c>
    </row>
    <row r="1349" spans="1:6" hidden="1" x14ac:dyDescent="0.2">
      <c r="A1349" t="s">
        <v>506</v>
      </c>
      <c r="B1349" t="s">
        <v>355</v>
      </c>
      <c r="C1349">
        <v>34.27729924519857</v>
      </c>
      <c r="D1349">
        <v>164.5310363769531</v>
      </c>
      <c r="E1349">
        <v>161.67619323730469</v>
      </c>
      <c r="F1349">
        <f>(Table[[#This Row],[price_lag]] - Table[[#This Row],[price]]) / Table[[#This Row],[price]]</f>
        <v>-1.7351395837000301E-2</v>
      </c>
    </row>
    <row r="1350" spans="1:6" hidden="1" x14ac:dyDescent="0.2">
      <c r="A1350" t="s">
        <v>506</v>
      </c>
      <c r="B1350" t="s">
        <v>356</v>
      </c>
      <c r="C1350">
        <v>13.79590230445339</v>
      </c>
      <c r="D1350">
        <v>80.568069458007812</v>
      </c>
      <c r="E1350">
        <v>70.598625183105469</v>
      </c>
      <c r="F1350">
        <f>(Table[[#This Row],[price_lag]] - Table[[#This Row],[price]]) / Table[[#This Row],[price]]</f>
        <v>-0.12373939628897812</v>
      </c>
    </row>
    <row r="1351" spans="1:6" hidden="1" x14ac:dyDescent="0.2">
      <c r="A1351" t="s">
        <v>506</v>
      </c>
      <c r="B1351" t="s">
        <v>357</v>
      </c>
      <c r="C1351">
        <v>0</v>
      </c>
      <c r="D1351">
        <v>40.689998626708977</v>
      </c>
      <c r="E1351">
        <v>52.409999847412109</v>
      </c>
      <c r="F1351">
        <f>(Table[[#This Row],[price_lag]] - Table[[#This Row],[price]]) / Table[[#This Row],[price]]</f>
        <v>0.28803149708169579</v>
      </c>
    </row>
    <row r="1352" spans="1:6" hidden="1" x14ac:dyDescent="0.2">
      <c r="A1352" t="s">
        <v>506</v>
      </c>
      <c r="B1352" t="s">
        <v>358</v>
      </c>
      <c r="C1352">
        <v>22.901168236365681</v>
      </c>
      <c r="D1352">
        <v>95.26885986328125</v>
      </c>
      <c r="E1352">
        <v>79.366851806640625</v>
      </c>
      <c r="F1352">
        <f>(Table[[#This Row],[price_lag]] - Table[[#This Row],[price]]) / Table[[#This Row],[price]]</f>
        <v>-0.1669171655823459</v>
      </c>
    </row>
    <row r="1353" spans="1:6" hidden="1" x14ac:dyDescent="0.2">
      <c r="A1353" t="s">
        <v>506</v>
      </c>
      <c r="B1353" t="s">
        <v>359</v>
      </c>
      <c r="C1353">
        <v>32.954163324265252</v>
      </c>
      <c r="D1353">
        <v>138.40748596191409</v>
      </c>
      <c r="E1353">
        <v>217.21429443359381</v>
      </c>
      <c r="F1353">
        <f>(Table[[#This Row],[price_lag]] - Table[[#This Row],[price]]) / Table[[#This Row],[price]]</f>
        <v>0.56938255849373043</v>
      </c>
    </row>
    <row r="1354" spans="1:6" hidden="1" x14ac:dyDescent="0.2">
      <c r="A1354" t="s">
        <v>506</v>
      </c>
      <c r="B1354" t="s">
        <v>360</v>
      </c>
      <c r="C1354">
        <v>41.717191602362959</v>
      </c>
      <c r="D1354">
        <v>101.7899475097656</v>
      </c>
      <c r="E1354">
        <v>98.088027954101562</v>
      </c>
      <c r="F1354">
        <f>(Table[[#This Row],[price_lag]] - Table[[#This Row],[price]]) / Table[[#This Row],[price]]</f>
        <v>-3.6368223446709966E-2</v>
      </c>
    </row>
    <row r="1355" spans="1:6" hidden="1" x14ac:dyDescent="0.2">
      <c r="A1355" t="s">
        <v>506</v>
      </c>
      <c r="B1355" t="s">
        <v>361</v>
      </c>
      <c r="C1355">
        <v>24.787018696467079</v>
      </c>
      <c r="D1355">
        <v>95.182151794433594</v>
      </c>
      <c r="E1355">
        <v>93.243705749511719</v>
      </c>
      <c r="F1355">
        <f>(Table[[#This Row],[price_lag]] - Table[[#This Row],[price]]) / Table[[#This Row],[price]]</f>
        <v>-2.0365646377782758E-2</v>
      </c>
    </row>
    <row r="1356" spans="1:6" hidden="1" x14ac:dyDescent="0.2">
      <c r="A1356" t="s">
        <v>506</v>
      </c>
      <c r="B1356" t="s">
        <v>362</v>
      </c>
      <c r="C1356">
        <v>21.410161493108131</v>
      </c>
      <c r="D1356">
        <v>194.4042663574219</v>
      </c>
      <c r="E1356">
        <v>186.2131042480469</v>
      </c>
      <c r="F1356">
        <f>(Table[[#This Row],[price_lag]] - Table[[#This Row],[price]]) / Table[[#This Row],[price]]</f>
        <v>-4.2134682858837785E-2</v>
      </c>
    </row>
    <row r="1357" spans="1:6" hidden="1" x14ac:dyDescent="0.2">
      <c r="A1357" t="s">
        <v>506</v>
      </c>
      <c r="B1357" t="s">
        <v>363</v>
      </c>
      <c r="C1357">
        <v>234.10369774516789</v>
      </c>
      <c r="D1357">
        <v>84.400001525878906</v>
      </c>
      <c r="E1357">
        <v>136.32000732421881</v>
      </c>
      <c r="F1357">
        <f>(Table[[#This Row],[price_lag]] - Table[[#This Row],[price]]) / Table[[#This Row],[price]]</f>
        <v>0.61516593435629352</v>
      </c>
    </row>
    <row r="1358" spans="1:6" hidden="1" x14ac:dyDescent="0.2">
      <c r="A1358" t="s">
        <v>506</v>
      </c>
      <c r="B1358" t="s">
        <v>364</v>
      </c>
      <c r="C1358">
        <v>109.38461499336439</v>
      </c>
      <c r="D1358">
        <v>170.63999938964841</v>
      </c>
      <c r="E1358">
        <v>204.63999938964841</v>
      </c>
      <c r="F1358">
        <f>(Table[[#This Row],[price_lag]] - Table[[#This Row],[price]]) / Table[[#This Row],[price]]</f>
        <v>0.19924988350687109</v>
      </c>
    </row>
    <row r="1359" spans="1:6" hidden="1" x14ac:dyDescent="0.2">
      <c r="A1359" t="s">
        <v>506</v>
      </c>
      <c r="B1359" t="s">
        <v>365</v>
      </c>
      <c r="C1359">
        <v>20.167200833080919</v>
      </c>
      <c r="D1359">
        <v>603.40264892578125</v>
      </c>
      <c r="E1359">
        <v>695.31060791015625</v>
      </c>
      <c r="F1359">
        <f>(Table[[#This Row],[price_lag]] - Table[[#This Row],[price]]) / Table[[#This Row],[price]]</f>
        <v>0.152316134422008</v>
      </c>
    </row>
    <row r="1360" spans="1:6" hidden="1" x14ac:dyDescent="0.2">
      <c r="A1360" t="s">
        <v>506</v>
      </c>
      <c r="B1360" t="s">
        <v>366</v>
      </c>
      <c r="C1360">
        <v>26.141100459628639</v>
      </c>
      <c r="D1360">
        <v>150.57273864746091</v>
      </c>
      <c r="E1360">
        <v>142.98297119140619</v>
      </c>
      <c r="F1360">
        <f>(Table[[#This Row],[price_lag]] - Table[[#This Row],[price]]) / Table[[#This Row],[price]]</f>
        <v>-5.0405986662863299E-2</v>
      </c>
    </row>
    <row r="1361" spans="1:6" hidden="1" x14ac:dyDescent="0.2">
      <c r="A1361" t="s">
        <v>506</v>
      </c>
      <c r="B1361" t="s">
        <v>367</v>
      </c>
      <c r="C1361">
        <v>21.81814875468671</v>
      </c>
      <c r="D1361">
        <v>217.30876159667969</v>
      </c>
      <c r="E1361">
        <v>230.4946594238281</v>
      </c>
      <c r="F1361">
        <f>(Table[[#This Row],[price_lag]] - Table[[#This Row],[price]]) / Table[[#This Row],[price]]</f>
        <v>6.0678169302815076E-2</v>
      </c>
    </row>
    <row r="1362" spans="1:6" hidden="1" x14ac:dyDescent="0.2">
      <c r="A1362" t="s">
        <v>506</v>
      </c>
      <c r="B1362" t="s">
        <v>368</v>
      </c>
      <c r="C1362">
        <v>12.423570647494479</v>
      </c>
      <c r="D1362">
        <v>65.099510192871094</v>
      </c>
      <c r="E1362">
        <v>74.148590087890625</v>
      </c>
      <c r="F1362">
        <f>(Table[[#This Row],[price_lag]] - Table[[#This Row],[price]]) / Table[[#This Row],[price]]</f>
        <v>0.13900380921776084</v>
      </c>
    </row>
    <row r="1363" spans="1:6" hidden="1" x14ac:dyDescent="0.2">
      <c r="A1363" t="s">
        <v>506</v>
      </c>
      <c r="B1363" t="s">
        <v>369</v>
      </c>
      <c r="C1363">
        <v>23.029656105853139</v>
      </c>
      <c r="D1363">
        <v>86.591506958007812</v>
      </c>
      <c r="E1363">
        <v>101.9330291748047</v>
      </c>
      <c r="F1363">
        <f>(Table[[#This Row],[price_lag]] - Table[[#This Row],[price]]) / Table[[#This Row],[price]]</f>
        <v>0.17717121177064971</v>
      </c>
    </row>
    <row r="1364" spans="1:6" hidden="1" x14ac:dyDescent="0.2">
      <c r="A1364" t="s">
        <v>506</v>
      </c>
      <c r="B1364" t="s">
        <v>370</v>
      </c>
      <c r="C1364">
        <v>27.13678843939482</v>
      </c>
      <c r="D1364">
        <v>145.45318603515619</v>
      </c>
      <c r="E1364">
        <v>129.4942626953125</v>
      </c>
      <c r="F1364">
        <f>(Table[[#This Row],[price_lag]] - Table[[#This Row],[price]]) / Table[[#This Row],[price]]</f>
        <v>-0.10971862339259041</v>
      </c>
    </row>
    <row r="1365" spans="1:6" hidden="1" x14ac:dyDescent="0.2">
      <c r="A1365" t="s">
        <v>506</v>
      </c>
      <c r="B1365" t="s">
        <v>371</v>
      </c>
      <c r="C1365">
        <v>11.35823543255146</v>
      </c>
      <c r="D1365">
        <v>23.625129699707031</v>
      </c>
      <c r="E1365">
        <v>23.030710220336911</v>
      </c>
      <c r="F1365">
        <f>(Table[[#This Row],[price_lag]] - Table[[#This Row],[price]]) / Table[[#This Row],[price]]</f>
        <v>-2.5160474754028207E-2</v>
      </c>
    </row>
    <row r="1366" spans="1:6" hidden="1" x14ac:dyDescent="0.2">
      <c r="A1366" t="s">
        <v>506</v>
      </c>
      <c r="B1366" t="s">
        <v>372</v>
      </c>
      <c r="C1366">
        <v>15.23892368589129</v>
      </c>
      <c r="D1366">
        <v>17.067594528198239</v>
      </c>
      <c r="E1366">
        <v>13.87358474731445</v>
      </c>
      <c r="F1366">
        <f>(Table[[#This Row],[price_lag]] - Table[[#This Row],[price]]) / Table[[#This Row],[price]]</f>
        <v>-0.18713883644275728</v>
      </c>
    </row>
    <row r="1367" spans="1:6" hidden="1" x14ac:dyDescent="0.2">
      <c r="A1367" t="s">
        <v>506</v>
      </c>
      <c r="B1367" t="s">
        <v>373</v>
      </c>
      <c r="C1367">
        <v>22.480607587237689</v>
      </c>
      <c r="D1367">
        <v>154.66658020019531</v>
      </c>
      <c r="E1367">
        <v>178.80369567871091</v>
      </c>
      <c r="F1367">
        <f>(Table[[#This Row],[price_lag]] - Table[[#This Row],[price]]) / Table[[#This Row],[price]]</f>
        <v>0.15605902352837511</v>
      </c>
    </row>
    <row r="1368" spans="1:6" hidden="1" x14ac:dyDescent="0.2">
      <c r="A1368" t="s">
        <v>506</v>
      </c>
      <c r="B1368" t="s">
        <v>374</v>
      </c>
      <c r="C1368">
        <v>25.228069209251089</v>
      </c>
      <c r="D1368">
        <v>120.0856094360352</v>
      </c>
      <c r="E1368">
        <v>117.1385192871094</v>
      </c>
      <c r="F1368">
        <f>(Table[[#This Row],[price_lag]] - Table[[#This Row],[price]]) / Table[[#This Row],[price]]</f>
        <v>-2.4541576320146773E-2</v>
      </c>
    </row>
    <row r="1369" spans="1:6" hidden="1" x14ac:dyDescent="0.2">
      <c r="A1369" t="s">
        <v>506</v>
      </c>
      <c r="B1369" t="s">
        <v>375</v>
      </c>
      <c r="C1369">
        <v>0</v>
      </c>
      <c r="D1369">
        <v>92.454055786132812</v>
      </c>
      <c r="E1369">
        <v>87.675674438476562</v>
      </c>
      <c r="F1369">
        <f>(Table[[#This Row],[price_lag]] - Table[[#This Row],[price]]) / Table[[#This Row],[price]]</f>
        <v>-5.168384779905956E-2</v>
      </c>
    </row>
    <row r="1370" spans="1:6" hidden="1" x14ac:dyDescent="0.2">
      <c r="A1370" t="s">
        <v>506</v>
      </c>
      <c r="B1370" t="s">
        <v>376</v>
      </c>
      <c r="C1370">
        <v>12.04486651854082</v>
      </c>
      <c r="D1370">
        <v>169.59172058105469</v>
      </c>
      <c r="E1370">
        <v>181.73866271972659</v>
      </c>
      <c r="F1370">
        <f>(Table[[#This Row],[price_lag]] - Table[[#This Row],[price]]) / Table[[#This Row],[price]]</f>
        <v>7.16246176231604E-2</v>
      </c>
    </row>
    <row r="1371" spans="1:6" hidden="1" x14ac:dyDescent="0.2">
      <c r="A1371" t="s">
        <v>506</v>
      </c>
      <c r="B1371" t="s">
        <v>377</v>
      </c>
      <c r="C1371">
        <v>55.336508952396017</v>
      </c>
      <c r="D1371">
        <v>314.31137084960938</v>
      </c>
      <c r="E1371">
        <v>288.95108032226562</v>
      </c>
      <c r="F1371">
        <f>(Table[[#This Row],[price_lag]] - Table[[#This Row],[price]]) / Table[[#This Row],[price]]</f>
        <v>-8.068524679458082E-2</v>
      </c>
    </row>
    <row r="1372" spans="1:6" hidden="1" x14ac:dyDescent="0.2">
      <c r="A1372" t="s">
        <v>506</v>
      </c>
      <c r="B1372" t="s">
        <v>378</v>
      </c>
      <c r="C1372">
        <v>16.434483440375772</v>
      </c>
      <c r="D1372">
        <v>107.15283203125</v>
      </c>
      <c r="E1372">
        <v>112.1613388061523</v>
      </c>
      <c r="F1372">
        <f>(Table[[#This Row],[price_lag]] - Table[[#This Row],[price]]) / Table[[#This Row],[price]]</f>
        <v>4.6741711627758219E-2</v>
      </c>
    </row>
    <row r="1373" spans="1:6" hidden="1" x14ac:dyDescent="0.2">
      <c r="A1373" t="s">
        <v>506</v>
      </c>
      <c r="B1373" t="s">
        <v>379</v>
      </c>
      <c r="C1373">
        <v>15.740442276000969</v>
      </c>
      <c r="D1373">
        <v>35.258590698242188</v>
      </c>
      <c r="E1373">
        <v>33.359424591064453</v>
      </c>
      <c r="F1373">
        <f>(Table[[#This Row],[price_lag]] - Table[[#This Row],[price]]) / Table[[#This Row],[price]]</f>
        <v>-5.3863925629688232E-2</v>
      </c>
    </row>
    <row r="1374" spans="1:6" hidden="1" x14ac:dyDescent="0.2">
      <c r="A1374" t="s">
        <v>506</v>
      </c>
      <c r="B1374" t="s">
        <v>380</v>
      </c>
      <c r="C1374">
        <v>95.833686294603837</v>
      </c>
      <c r="D1374">
        <v>81.958885192871094</v>
      </c>
      <c r="E1374">
        <v>77.92034912109375</v>
      </c>
      <c r="F1374">
        <f>(Table[[#This Row],[price_lag]] - Table[[#This Row],[price]]) / Table[[#This Row],[price]]</f>
        <v>-4.9275146462443853E-2</v>
      </c>
    </row>
    <row r="1375" spans="1:6" hidden="1" x14ac:dyDescent="0.2">
      <c r="A1375" t="s">
        <v>506</v>
      </c>
      <c r="B1375" t="s">
        <v>381</v>
      </c>
      <c r="C1375">
        <v>26.24495783938637</v>
      </c>
      <c r="D1375">
        <v>165.8681335449219</v>
      </c>
      <c r="E1375">
        <v>156.03118896484381</v>
      </c>
      <c r="F1375">
        <f>(Table[[#This Row],[price_lag]] - Table[[#This Row],[price]]) / Table[[#This Row],[price]]</f>
        <v>-5.930581341842836E-2</v>
      </c>
    </row>
    <row r="1376" spans="1:6" hidden="1" x14ac:dyDescent="0.2">
      <c r="A1376" t="s">
        <v>506</v>
      </c>
      <c r="B1376" t="s">
        <v>382</v>
      </c>
      <c r="C1376">
        <v>15.17136107841039</v>
      </c>
      <c r="D1376">
        <v>265.80224609375</v>
      </c>
      <c r="E1376">
        <v>250.72334289550781</v>
      </c>
      <c r="F1376">
        <f>(Table[[#This Row],[price_lag]] - Table[[#This Row],[price]]) / Table[[#This Row],[price]]</f>
        <v>-5.6729780954987756E-2</v>
      </c>
    </row>
    <row r="1377" spans="1:6" hidden="1" x14ac:dyDescent="0.2">
      <c r="A1377" t="s">
        <v>506</v>
      </c>
      <c r="B1377" t="s">
        <v>383</v>
      </c>
      <c r="C1377">
        <v>42.5413578748703</v>
      </c>
      <c r="D1377">
        <v>108.905876159668</v>
      </c>
      <c r="E1377">
        <v>103.38548278808589</v>
      </c>
      <c r="F1377">
        <f>(Table[[#This Row],[price_lag]] - Table[[#This Row],[price]]) / Table[[#This Row],[price]]</f>
        <v>-5.0689582291120805E-2</v>
      </c>
    </row>
    <row r="1378" spans="1:6" hidden="1" x14ac:dyDescent="0.2">
      <c r="A1378" t="s">
        <v>506</v>
      </c>
      <c r="B1378" t="s">
        <v>384</v>
      </c>
      <c r="C1378">
        <v>13.70755312394123</v>
      </c>
      <c r="D1378">
        <v>107.4672164916992</v>
      </c>
      <c r="E1378">
        <v>104.69610595703119</v>
      </c>
      <c r="F1378">
        <f>(Table[[#This Row],[price_lag]] - Table[[#This Row],[price]]) / Table[[#This Row],[price]]</f>
        <v>-2.5785636077045437E-2</v>
      </c>
    </row>
    <row r="1379" spans="1:6" hidden="1" x14ac:dyDescent="0.2">
      <c r="A1379" t="s">
        <v>506</v>
      </c>
      <c r="B1379" t="s">
        <v>385</v>
      </c>
      <c r="C1379">
        <v>17.027256852489408</v>
      </c>
      <c r="D1379">
        <v>80.36865234375</v>
      </c>
      <c r="E1379">
        <v>82.855392456054688</v>
      </c>
      <c r="F1379">
        <f>(Table[[#This Row],[price_lag]] - Table[[#This Row],[price]]) / Table[[#This Row],[price]]</f>
        <v>3.0941667426106503E-2</v>
      </c>
    </row>
    <row r="1380" spans="1:6" hidden="1" x14ac:dyDescent="0.2">
      <c r="A1380" t="s">
        <v>506</v>
      </c>
      <c r="B1380" t="s">
        <v>386</v>
      </c>
      <c r="C1380">
        <v>28.69444387930411</v>
      </c>
      <c r="D1380">
        <v>154.94999694824219</v>
      </c>
      <c r="E1380">
        <v>172.3399963378906</v>
      </c>
      <c r="F1380">
        <f>(Table[[#This Row],[price_lag]] - Table[[#This Row],[price]]) / Table[[#This Row],[price]]</f>
        <v>0.1122297498041073</v>
      </c>
    </row>
    <row r="1381" spans="1:6" hidden="1" x14ac:dyDescent="0.2">
      <c r="A1381" t="s">
        <v>506</v>
      </c>
      <c r="B1381" t="s">
        <v>387</v>
      </c>
      <c r="C1381">
        <v>35.546366373697907</v>
      </c>
      <c r="D1381">
        <v>290.058349609375</v>
      </c>
      <c r="E1381">
        <v>287.24029541015619</v>
      </c>
      <c r="F1381">
        <f>(Table[[#This Row],[price_lag]] - Table[[#This Row],[price]]) / Table[[#This Row],[price]]</f>
        <v>-9.7154734659902521E-3</v>
      </c>
    </row>
    <row r="1382" spans="1:6" hidden="1" x14ac:dyDescent="0.2">
      <c r="A1382" t="s">
        <v>506</v>
      </c>
      <c r="B1382" t="s">
        <v>388</v>
      </c>
      <c r="C1382">
        <v>9.8649949180573575</v>
      </c>
      <c r="D1382">
        <v>102.2013473510742</v>
      </c>
      <c r="E1382">
        <v>105.07155609130859</v>
      </c>
      <c r="F1382">
        <f>(Table[[#This Row],[price_lag]] - Table[[#This Row],[price]]) / Table[[#This Row],[price]]</f>
        <v>2.8083864005969208E-2</v>
      </c>
    </row>
    <row r="1383" spans="1:6" hidden="1" x14ac:dyDescent="0.2">
      <c r="A1383" t="s">
        <v>506</v>
      </c>
      <c r="B1383" t="s">
        <v>389</v>
      </c>
      <c r="C1383">
        <v>65.435370219122504</v>
      </c>
      <c r="D1383">
        <v>253.88923645019531</v>
      </c>
      <c r="E1383">
        <v>377.790283203125</v>
      </c>
      <c r="F1383">
        <f>(Table[[#This Row],[price_lag]] - Table[[#This Row],[price]]) / Table[[#This Row],[price]]</f>
        <v>0.48801220754876301</v>
      </c>
    </row>
    <row r="1384" spans="1:6" hidden="1" x14ac:dyDescent="0.2">
      <c r="A1384" t="s">
        <v>506</v>
      </c>
      <c r="B1384" t="s">
        <v>390</v>
      </c>
      <c r="C1384">
        <v>14.809498506433821</v>
      </c>
      <c r="D1384">
        <v>151.056884765625</v>
      </c>
      <c r="E1384">
        <v>157.55375671386719</v>
      </c>
      <c r="F1384">
        <f>(Table[[#This Row],[price_lag]] - Table[[#This Row],[price]]) / Table[[#This Row],[price]]</f>
        <v>4.3009439512290519E-2</v>
      </c>
    </row>
    <row r="1385" spans="1:6" hidden="1" x14ac:dyDescent="0.2">
      <c r="A1385" t="s">
        <v>506</v>
      </c>
      <c r="B1385" t="s">
        <v>391</v>
      </c>
      <c r="C1385">
        <v>21.080508934059729</v>
      </c>
      <c r="D1385">
        <v>166.1144104003906</v>
      </c>
      <c r="E1385">
        <v>177.21772766113281</v>
      </c>
      <c r="F1385">
        <f>(Table[[#This Row],[price_lag]] - Table[[#This Row],[price]]) / Table[[#This Row],[price]]</f>
        <v>6.6841385006752602E-2</v>
      </c>
    </row>
    <row r="1386" spans="1:6" hidden="1" x14ac:dyDescent="0.2">
      <c r="A1386" t="s">
        <v>506</v>
      </c>
      <c r="B1386" t="s">
        <v>392</v>
      </c>
      <c r="C1386">
        <v>26.42343309190538</v>
      </c>
      <c r="D1386">
        <v>218.78602600097659</v>
      </c>
      <c r="E1386">
        <v>272.76266479492188</v>
      </c>
      <c r="F1386">
        <f>(Table[[#This Row],[price_lag]] - Table[[#This Row],[price]]) / Table[[#This Row],[price]]</f>
        <v>0.24670971807726125</v>
      </c>
    </row>
    <row r="1387" spans="1:6" hidden="1" x14ac:dyDescent="0.2">
      <c r="A1387" t="s">
        <v>506</v>
      </c>
      <c r="B1387" t="s">
        <v>393</v>
      </c>
      <c r="C1387">
        <v>14.221636190453999</v>
      </c>
      <c r="D1387">
        <v>137.09657287597659</v>
      </c>
      <c r="E1387">
        <v>151.91461181640619</v>
      </c>
      <c r="F1387">
        <f>(Table[[#This Row],[price_lag]] - Table[[#This Row],[price]]) / Table[[#This Row],[price]]</f>
        <v>0.10808467804541426</v>
      </c>
    </row>
    <row r="1388" spans="1:6" hidden="1" x14ac:dyDescent="0.2">
      <c r="A1388" t="s">
        <v>506</v>
      </c>
      <c r="B1388" t="s">
        <v>394</v>
      </c>
      <c r="C1388">
        <v>28.411686109459922</v>
      </c>
      <c r="D1388">
        <v>130.6937561035156</v>
      </c>
      <c r="E1388">
        <v>144.8074035644531</v>
      </c>
      <c r="F1388">
        <f>(Table[[#This Row],[price_lag]] - Table[[#This Row],[price]]) / Table[[#This Row],[price]]</f>
        <v>0.10799021989817806</v>
      </c>
    </row>
    <row r="1389" spans="1:6" hidden="1" x14ac:dyDescent="0.2">
      <c r="A1389" t="s">
        <v>506</v>
      </c>
      <c r="B1389" t="s">
        <v>395</v>
      </c>
      <c r="C1389">
        <v>49.428994315011153</v>
      </c>
      <c r="D1389">
        <v>55.3604736328125</v>
      </c>
      <c r="E1389">
        <v>55.757774353027337</v>
      </c>
      <c r="F1389">
        <f>(Table[[#This Row],[price_lag]] - Table[[#This Row],[price]]) / Table[[#This Row],[price]]</f>
        <v>7.1766134598124903E-3</v>
      </c>
    </row>
    <row r="1390" spans="1:6" hidden="1" x14ac:dyDescent="0.2">
      <c r="A1390" t="s">
        <v>506</v>
      </c>
      <c r="B1390" t="s">
        <v>396</v>
      </c>
      <c r="C1390">
        <v>30.571267215370831</v>
      </c>
      <c r="D1390">
        <v>71.524169921875</v>
      </c>
      <c r="E1390">
        <v>69.747505187988281</v>
      </c>
      <c r="F1390">
        <f>(Table[[#This Row],[price_lag]] - Table[[#This Row],[price]]) / Table[[#This Row],[price]]</f>
        <v>-2.484006086092783E-2</v>
      </c>
    </row>
    <row r="1391" spans="1:6" hidden="1" x14ac:dyDescent="0.2">
      <c r="A1391" t="s">
        <v>506</v>
      </c>
      <c r="B1391" t="s">
        <v>397</v>
      </c>
      <c r="C1391">
        <v>20.829235469445699</v>
      </c>
      <c r="D1391">
        <v>631.54241943359375</v>
      </c>
      <c r="E1391">
        <v>523.547607421875</v>
      </c>
      <c r="F1391">
        <f>(Table[[#This Row],[price_lag]] - Table[[#This Row],[price]]) / Table[[#This Row],[price]]</f>
        <v>-0.17100167572049266</v>
      </c>
    </row>
    <row r="1392" spans="1:6" hidden="1" x14ac:dyDescent="0.2">
      <c r="A1392" t="s">
        <v>506</v>
      </c>
      <c r="B1392" t="s">
        <v>398</v>
      </c>
      <c r="C1392">
        <v>10.317335876764041</v>
      </c>
      <c r="D1392">
        <v>21.047365188598629</v>
      </c>
      <c r="E1392">
        <v>23.049907684326168</v>
      </c>
      <c r="F1392">
        <f>(Table[[#This Row],[price_lag]] - Table[[#This Row],[price]]) / Table[[#This Row],[price]]</f>
        <v>9.5144569298028697E-2</v>
      </c>
    </row>
    <row r="1393" spans="1:6" hidden="1" x14ac:dyDescent="0.2">
      <c r="A1393" t="s">
        <v>506</v>
      </c>
      <c r="B1393" t="s">
        <v>399</v>
      </c>
      <c r="C1393">
        <v>37.917641748355912</v>
      </c>
      <c r="D1393">
        <v>239.6394958496094</v>
      </c>
      <c r="E1393">
        <v>244.6253356933594</v>
      </c>
      <c r="F1393">
        <f>(Table[[#This Row],[price_lag]] - Table[[#This Row],[price]]) / Table[[#This Row],[price]]</f>
        <v>2.0805584764203328E-2</v>
      </c>
    </row>
    <row r="1394" spans="1:6" hidden="1" x14ac:dyDescent="0.2">
      <c r="A1394" t="s">
        <v>506</v>
      </c>
      <c r="B1394" t="s">
        <v>400</v>
      </c>
      <c r="C1394">
        <v>22.326442611265371</v>
      </c>
      <c r="D1394">
        <v>222.3713684082031</v>
      </c>
      <c r="E1394">
        <v>256.85208129882812</v>
      </c>
      <c r="F1394">
        <f>(Table[[#This Row],[price_lag]] - Table[[#This Row],[price]]) / Table[[#This Row],[price]]</f>
        <v>0.15505913885158726</v>
      </c>
    </row>
    <row r="1395" spans="1:6" hidden="1" x14ac:dyDescent="0.2">
      <c r="A1395" t="s">
        <v>506</v>
      </c>
      <c r="B1395" t="s">
        <v>401</v>
      </c>
      <c r="C1395">
        <v>74.56584755892699</v>
      </c>
      <c r="D1395">
        <v>105.50083160400391</v>
      </c>
      <c r="E1395">
        <v>96.518569946289062</v>
      </c>
      <c r="F1395">
        <f>(Table[[#This Row],[price_lag]] - Table[[#This Row],[price]]) / Table[[#This Row],[price]]</f>
        <v>-8.5139249815865473E-2</v>
      </c>
    </row>
    <row r="1396" spans="1:6" hidden="1" x14ac:dyDescent="0.2">
      <c r="A1396" t="s">
        <v>506</v>
      </c>
      <c r="B1396" t="s">
        <v>402</v>
      </c>
      <c r="C1396">
        <v>28.555091480640911</v>
      </c>
      <c r="D1396">
        <v>255.36224365234381</v>
      </c>
      <c r="E1396">
        <v>329.68789672851562</v>
      </c>
      <c r="F1396">
        <f>(Table[[#This Row],[price_lag]] - Table[[#This Row],[price]]) / Table[[#This Row],[price]]</f>
        <v>0.29105968060556564</v>
      </c>
    </row>
    <row r="1397" spans="1:6" hidden="1" x14ac:dyDescent="0.2">
      <c r="A1397" t="s">
        <v>506</v>
      </c>
      <c r="B1397" t="s">
        <v>403</v>
      </c>
      <c r="C1397">
        <v>60.856255618008703</v>
      </c>
      <c r="D1397">
        <v>53.553504943847663</v>
      </c>
      <c r="E1397">
        <v>56.085578918457031</v>
      </c>
      <c r="F1397">
        <f>(Table[[#This Row],[price_lag]] - Table[[#This Row],[price]]) / Table[[#This Row],[price]]</f>
        <v>4.7281199937601055E-2</v>
      </c>
    </row>
    <row r="1398" spans="1:6" hidden="1" x14ac:dyDescent="0.2">
      <c r="A1398" t="s">
        <v>506</v>
      </c>
      <c r="B1398" t="s">
        <v>404</v>
      </c>
      <c r="C1398">
        <v>47.541259171126732</v>
      </c>
      <c r="D1398">
        <v>585.70831298828125</v>
      </c>
      <c r="E1398">
        <v>563.920166015625</v>
      </c>
      <c r="F1398">
        <f>(Table[[#This Row],[price_lag]] - Table[[#This Row],[price]]) / Table[[#This Row],[price]]</f>
        <v>-3.7199654656587026E-2</v>
      </c>
    </row>
    <row r="1399" spans="1:6" hidden="1" x14ac:dyDescent="0.2">
      <c r="A1399" t="s">
        <v>506</v>
      </c>
      <c r="B1399" t="s">
        <v>405</v>
      </c>
      <c r="C1399">
        <v>21.418345941079629</v>
      </c>
      <c r="D1399">
        <v>126.79660797119141</v>
      </c>
      <c r="E1399">
        <v>126.9499130249023</v>
      </c>
      <c r="F1399">
        <f>(Table[[#This Row],[price_lag]] - Table[[#This Row],[price]]) / Table[[#This Row],[price]]</f>
        <v>1.2090627356981527E-3</v>
      </c>
    </row>
    <row r="1400" spans="1:6" hidden="1" x14ac:dyDescent="0.2">
      <c r="A1400" t="s">
        <v>506</v>
      </c>
      <c r="B1400" t="s">
        <v>406</v>
      </c>
      <c r="C1400">
        <v>18.776898542453441</v>
      </c>
      <c r="D1400">
        <v>203.54158020019531</v>
      </c>
      <c r="E1400">
        <v>311.12109375</v>
      </c>
      <c r="F1400">
        <f>(Table[[#This Row],[price_lag]] - Table[[#This Row],[price]]) / Table[[#This Row],[price]]</f>
        <v>0.5285382644862725</v>
      </c>
    </row>
    <row r="1401" spans="1:6" hidden="1" x14ac:dyDescent="0.2">
      <c r="A1401" t="s">
        <v>506</v>
      </c>
      <c r="B1401" t="s">
        <v>407</v>
      </c>
      <c r="C1401">
        <v>35.583102803834727</v>
      </c>
      <c r="D1401">
        <v>505.28005981445312</v>
      </c>
      <c r="E1401">
        <v>525.339599609375</v>
      </c>
      <c r="F1401">
        <f>(Table[[#This Row],[price_lag]] - Table[[#This Row],[price]]) / Table[[#This Row],[price]]</f>
        <v>3.9699844482855816E-2</v>
      </c>
    </row>
    <row r="1402" spans="1:6" hidden="1" x14ac:dyDescent="0.2">
      <c r="A1402" t="s">
        <v>506</v>
      </c>
      <c r="B1402" t="s">
        <v>408</v>
      </c>
      <c r="C1402">
        <v>41.400530323478741</v>
      </c>
      <c r="D1402">
        <v>266.61941528320312</v>
      </c>
      <c r="E1402">
        <v>271.77728271484381</v>
      </c>
      <c r="F1402">
        <f>(Table[[#This Row],[price_lag]] - Table[[#This Row],[price]]) / Table[[#This Row],[price]]</f>
        <v>1.9345430737525229E-2</v>
      </c>
    </row>
    <row r="1403" spans="1:6" hidden="1" x14ac:dyDescent="0.2">
      <c r="A1403" t="s">
        <v>506</v>
      </c>
      <c r="B1403" t="s">
        <v>409</v>
      </c>
      <c r="C1403">
        <v>30.431331677383248</v>
      </c>
      <c r="D1403">
        <v>216.67108154296881</v>
      </c>
      <c r="E1403">
        <v>232.38835144042969</v>
      </c>
      <c r="F1403">
        <f>(Table[[#This Row],[price_lag]] - Table[[#This Row],[price]]) / Table[[#This Row],[price]]</f>
        <v>7.2539767584738499E-2</v>
      </c>
    </row>
    <row r="1404" spans="1:6" hidden="1" x14ac:dyDescent="0.2">
      <c r="A1404" t="s">
        <v>506</v>
      </c>
      <c r="B1404" t="s">
        <v>410</v>
      </c>
      <c r="C1404">
        <v>17.585928686733901</v>
      </c>
      <c r="D1404">
        <v>40.799354553222663</v>
      </c>
      <c r="E1404">
        <v>33.268836975097663</v>
      </c>
      <c r="F1404">
        <f>(Table[[#This Row],[price_lag]] - Table[[#This Row],[price]]) / Table[[#This Row],[price]]</f>
        <v>-0.18457442919351719</v>
      </c>
    </row>
    <row r="1405" spans="1:6" hidden="1" x14ac:dyDescent="0.2">
      <c r="A1405" t="s">
        <v>506</v>
      </c>
      <c r="B1405" t="s">
        <v>411</v>
      </c>
      <c r="C1405">
        <v>13.12739729881287</v>
      </c>
      <c r="D1405">
        <v>84.015342712402344</v>
      </c>
      <c r="E1405">
        <v>143.50001525878909</v>
      </c>
      <c r="F1405">
        <f>(Table[[#This Row],[price_lag]] - Table[[#This Row],[price]]) / Table[[#This Row],[price]]</f>
        <v>0.70802154256529171</v>
      </c>
    </row>
    <row r="1406" spans="1:6" hidden="1" x14ac:dyDescent="0.2">
      <c r="A1406" t="s">
        <v>506</v>
      </c>
      <c r="B1406" t="s">
        <v>412</v>
      </c>
      <c r="C1406">
        <v>12.541493752019869</v>
      </c>
      <c r="D1406">
        <v>69.730705261230469</v>
      </c>
      <c r="E1406">
        <v>74.682106018066406</v>
      </c>
      <c r="F1406">
        <f>(Table[[#This Row],[price_lag]] - Table[[#This Row],[price]]) / Table[[#This Row],[price]]</f>
        <v>7.1007467058975288E-2</v>
      </c>
    </row>
    <row r="1407" spans="1:6" hidden="1" x14ac:dyDescent="0.2">
      <c r="A1407" t="s">
        <v>506</v>
      </c>
      <c r="B1407" t="s">
        <v>413</v>
      </c>
      <c r="C1407">
        <v>89.655403618340017</v>
      </c>
      <c r="D1407">
        <v>159.2279968261719</v>
      </c>
      <c r="E1407">
        <v>205.6159973144531</v>
      </c>
      <c r="F1407">
        <f>(Table[[#This Row],[price_lag]] - Table[[#This Row],[price]]) / Table[[#This Row],[price]]</f>
        <v>0.29133067935862217</v>
      </c>
    </row>
    <row r="1408" spans="1:6" hidden="1" x14ac:dyDescent="0.2">
      <c r="A1408" t="s">
        <v>506</v>
      </c>
      <c r="B1408" t="s">
        <v>414</v>
      </c>
      <c r="C1408">
        <v>42.928616363223227</v>
      </c>
      <c r="D1408">
        <v>346.86322021484381</v>
      </c>
      <c r="E1408">
        <v>341.81918334960938</v>
      </c>
      <c r="F1408">
        <f>(Table[[#This Row],[price_lag]] - Table[[#This Row],[price]]) / Table[[#This Row],[price]]</f>
        <v>-1.4541861377260474E-2</v>
      </c>
    </row>
    <row r="1409" spans="1:6" hidden="1" x14ac:dyDescent="0.2">
      <c r="A1409" t="s">
        <v>506</v>
      </c>
      <c r="B1409" t="s">
        <v>415</v>
      </c>
      <c r="C1409">
        <v>31.501824086106669</v>
      </c>
      <c r="D1409">
        <v>160.0292663574219</v>
      </c>
      <c r="E1409">
        <v>156.9361877441406</v>
      </c>
      <c r="F1409">
        <f>(Table[[#This Row],[price_lag]] - Table[[#This Row],[price]]) / Table[[#This Row],[price]]</f>
        <v>-1.9328205919365914E-2</v>
      </c>
    </row>
    <row r="1410" spans="1:6" hidden="1" x14ac:dyDescent="0.2">
      <c r="A1410" t="s">
        <v>506</v>
      </c>
      <c r="B1410" t="s">
        <v>416</v>
      </c>
      <c r="C1410">
        <v>36.438196758891259</v>
      </c>
      <c r="D1410">
        <v>62.673698425292969</v>
      </c>
      <c r="E1410">
        <v>73.000755310058594</v>
      </c>
      <c r="F1410">
        <f>(Table[[#This Row],[price_lag]] - Table[[#This Row],[price]]) / Table[[#This Row],[price]]</f>
        <v>0.16477497170644037</v>
      </c>
    </row>
    <row r="1411" spans="1:6" hidden="1" x14ac:dyDescent="0.2">
      <c r="A1411" t="s">
        <v>506</v>
      </c>
      <c r="B1411" t="s">
        <v>417</v>
      </c>
      <c r="C1411">
        <v>0</v>
      </c>
      <c r="D1411">
        <v>114.9591751098633</v>
      </c>
      <c r="E1411">
        <v>96.261024475097656</v>
      </c>
      <c r="F1411">
        <f>(Table[[#This Row],[price_lag]] - Table[[#This Row],[price]]) / Table[[#This Row],[price]]</f>
        <v>-0.16265035493597041</v>
      </c>
    </row>
    <row r="1412" spans="1:6" hidden="1" x14ac:dyDescent="0.2">
      <c r="A1412" t="s">
        <v>506</v>
      </c>
      <c r="B1412" t="s">
        <v>418</v>
      </c>
      <c r="C1412">
        <v>14.93358483185639</v>
      </c>
      <c r="D1412">
        <v>44.203411102294922</v>
      </c>
      <c r="E1412">
        <v>42.724620819091797</v>
      </c>
      <c r="F1412">
        <f>(Table[[#This Row],[price_lag]] - Table[[#This Row],[price]]) / Table[[#This Row],[price]]</f>
        <v>-3.3454211933575194E-2</v>
      </c>
    </row>
    <row r="1413" spans="1:6" hidden="1" x14ac:dyDescent="0.2">
      <c r="A1413" t="s">
        <v>506</v>
      </c>
      <c r="B1413" t="s">
        <v>419</v>
      </c>
      <c r="C1413">
        <v>17.983106226702919</v>
      </c>
      <c r="D1413">
        <v>330.16983032226562</v>
      </c>
      <c r="E1413">
        <v>306.84237670898438</v>
      </c>
      <c r="F1413">
        <f>(Table[[#This Row],[price_lag]] - Table[[#This Row],[price]]) / Table[[#This Row],[price]]</f>
        <v>-7.0652892756773847E-2</v>
      </c>
    </row>
    <row r="1414" spans="1:6" hidden="1" x14ac:dyDescent="0.2">
      <c r="A1414" t="s">
        <v>506</v>
      </c>
      <c r="B1414" t="s">
        <v>420</v>
      </c>
      <c r="C1414">
        <v>24.063291428964352</v>
      </c>
      <c r="D1414">
        <v>76.040000915527344</v>
      </c>
      <c r="E1414">
        <v>75.839996337890625</v>
      </c>
      <c r="F1414">
        <f>(Table[[#This Row],[price_lag]] - Table[[#This Row],[price]]) / Table[[#This Row],[price]]</f>
        <v>-2.6302548031121586E-3</v>
      </c>
    </row>
    <row r="1415" spans="1:6" hidden="1" x14ac:dyDescent="0.2">
      <c r="A1415" t="s">
        <v>506</v>
      </c>
      <c r="B1415" t="s">
        <v>421</v>
      </c>
      <c r="C1415">
        <v>18.538741434901219</v>
      </c>
      <c r="D1415">
        <v>89.727508544921875</v>
      </c>
      <c r="E1415">
        <v>90.364219665527344</v>
      </c>
      <c r="F1415">
        <f>(Table[[#This Row],[price_lag]] - Table[[#This Row],[price]]) / Table[[#This Row],[price]]</f>
        <v>7.0960526033852899E-3</v>
      </c>
    </row>
    <row r="1416" spans="1:6" hidden="1" x14ac:dyDescent="0.2">
      <c r="A1416" t="s">
        <v>506</v>
      </c>
      <c r="B1416" t="s">
        <v>422</v>
      </c>
      <c r="C1416">
        <v>0</v>
      </c>
      <c r="D1416">
        <v>33.057323455810547</v>
      </c>
      <c r="E1416">
        <v>32.118949890136719</v>
      </c>
      <c r="F1416">
        <f>(Table[[#This Row],[price_lag]] - Table[[#This Row],[price]]) / Table[[#This Row],[price]]</f>
        <v>-2.8386253561278219E-2</v>
      </c>
    </row>
    <row r="1417" spans="1:6" hidden="1" x14ac:dyDescent="0.2">
      <c r="A1417" t="s">
        <v>506</v>
      </c>
      <c r="B1417" t="s">
        <v>423</v>
      </c>
      <c r="C1417">
        <v>30.906397501627609</v>
      </c>
      <c r="D1417">
        <v>74.17535400390625</v>
      </c>
      <c r="E1417">
        <v>66.215606689453125</v>
      </c>
      <c r="F1417">
        <f>(Table[[#This Row],[price_lag]] - Table[[#This Row],[price]]) / Table[[#This Row],[price]]</f>
        <v>-0.10730986621289257</v>
      </c>
    </row>
    <row r="1418" spans="1:6" hidden="1" x14ac:dyDescent="0.2">
      <c r="A1418" t="s">
        <v>506</v>
      </c>
      <c r="B1418" t="s">
        <v>424</v>
      </c>
      <c r="C1418">
        <v>71.028513526868565</v>
      </c>
      <c r="D1418">
        <v>96.071746826171875</v>
      </c>
      <c r="E1418">
        <v>90.376449584960938</v>
      </c>
      <c r="F1418">
        <f>(Table[[#This Row],[price_lag]] - Table[[#This Row],[price]]) / Table[[#This Row],[price]]</f>
        <v>-5.9281707987633096E-2</v>
      </c>
    </row>
    <row r="1419" spans="1:6" hidden="1" x14ac:dyDescent="0.2">
      <c r="A1419" t="s">
        <v>506</v>
      </c>
      <c r="B1419" t="s">
        <v>425</v>
      </c>
      <c r="C1419">
        <v>10.49851219435245</v>
      </c>
      <c r="D1419">
        <v>86.927680969238281</v>
      </c>
      <c r="E1419">
        <v>104.13304138183589</v>
      </c>
      <c r="F1419">
        <f>(Table[[#This Row],[price_lag]] - Table[[#This Row],[price]]) / Table[[#This Row],[price]]</f>
        <v>0.19792729106262708</v>
      </c>
    </row>
    <row r="1420" spans="1:6" hidden="1" x14ac:dyDescent="0.2">
      <c r="A1420" t="s">
        <v>506</v>
      </c>
      <c r="B1420" t="s">
        <v>426</v>
      </c>
      <c r="C1420">
        <v>21.343412728145211</v>
      </c>
      <c r="D1420">
        <v>123.7917938232422</v>
      </c>
      <c r="E1420">
        <v>127.1762390136719</v>
      </c>
      <c r="F1420">
        <f>(Table[[#This Row],[price_lag]] - Table[[#This Row],[price]]) / Table[[#This Row],[price]]</f>
        <v>2.7339818625313952E-2</v>
      </c>
    </row>
    <row r="1421" spans="1:6" hidden="1" x14ac:dyDescent="0.2">
      <c r="A1421" t="s">
        <v>506</v>
      </c>
      <c r="B1421" t="s">
        <v>427</v>
      </c>
      <c r="C1421">
        <v>38.096309352565463</v>
      </c>
      <c r="D1421">
        <v>225.5301513671875</v>
      </c>
      <c r="E1421">
        <v>239.5958251953125</v>
      </c>
      <c r="F1421">
        <f>(Table[[#This Row],[price_lag]] - Table[[#This Row],[price]]) / Table[[#This Row],[price]]</f>
        <v>6.2367154648092088E-2</v>
      </c>
    </row>
    <row r="1422" spans="1:6" hidden="1" x14ac:dyDescent="0.2">
      <c r="A1422" t="s">
        <v>506</v>
      </c>
      <c r="B1422" t="s">
        <v>428</v>
      </c>
      <c r="C1422">
        <v>54.048375358358463</v>
      </c>
      <c r="D1422">
        <v>369.69088745117188</v>
      </c>
      <c r="E1422">
        <v>393.7506103515625</v>
      </c>
      <c r="F1422">
        <f>(Table[[#This Row],[price_lag]] - Table[[#This Row],[price]]) / Table[[#This Row],[price]]</f>
        <v>6.5080649042420308E-2</v>
      </c>
    </row>
    <row r="1423" spans="1:6" hidden="1" x14ac:dyDescent="0.2">
      <c r="A1423" t="s">
        <v>506</v>
      </c>
      <c r="B1423" t="s">
        <v>429</v>
      </c>
      <c r="C1423">
        <v>47.555557886759438</v>
      </c>
      <c r="D1423">
        <v>34.240001678466797</v>
      </c>
      <c r="E1423">
        <v>49.009998321533203</v>
      </c>
      <c r="F1423">
        <f>(Table[[#This Row],[price_lag]] - Table[[#This Row],[price]]) / Table[[#This Row],[price]]</f>
        <v>0.43136670324274878</v>
      </c>
    </row>
    <row r="1424" spans="1:6" hidden="1" x14ac:dyDescent="0.2">
      <c r="A1424" t="s">
        <v>506</v>
      </c>
      <c r="B1424" t="s">
        <v>430</v>
      </c>
      <c r="C1424">
        <v>6.8330175589516529</v>
      </c>
      <c r="D1424">
        <v>52.204254150390618</v>
      </c>
      <c r="E1424">
        <v>66.178909301757812</v>
      </c>
      <c r="F1424">
        <f>(Table[[#This Row],[price_lag]] - Table[[#This Row],[price]]) / Table[[#This Row],[price]]</f>
        <v>0.26769188409643485</v>
      </c>
    </row>
    <row r="1425" spans="1:6" hidden="1" x14ac:dyDescent="0.2">
      <c r="A1425" t="s">
        <v>506</v>
      </c>
      <c r="B1425" t="s">
        <v>431</v>
      </c>
      <c r="C1425">
        <v>48.077354944340307</v>
      </c>
      <c r="D1425">
        <v>428.85000610351562</v>
      </c>
      <c r="E1425">
        <v>512.67999267578125</v>
      </c>
      <c r="F1425">
        <f>(Table[[#This Row],[price_lag]] - Table[[#This Row],[price]]) / Table[[#This Row],[price]]</f>
        <v>0.19547623966229064</v>
      </c>
    </row>
    <row r="1426" spans="1:6" hidden="1" x14ac:dyDescent="0.2">
      <c r="A1426" t="s">
        <v>506</v>
      </c>
      <c r="B1426" t="s">
        <v>432</v>
      </c>
      <c r="C1426">
        <v>22.254741482618378</v>
      </c>
      <c r="D1426">
        <v>72.995552062988281</v>
      </c>
      <c r="E1426">
        <v>74.178146362304688</v>
      </c>
      <c r="F1426">
        <f>(Table[[#This Row],[price_lag]] - Table[[#This Row],[price]]) / Table[[#This Row],[price]]</f>
        <v>1.6200909040265069E-2</v>
      </c>
    </row>
    <row r="1427" spans="1:6" hidden="1" x14ac:dyDescent="0.2">
      <c r="A1427" t="s">
        <v>506</v>
      </c>
      <c r="B1427" t="s">
        <v>433</v>
      </c>
      <c r="C1427">
        <v>25.433443872164581</v>
      </c>
      <c r="D1427">
        <v>263.490478515625</v>
      </c>
      <c r="E1427">
        <v>236.25273132324219</v>
      </c>
      <c r="F1427">
        <f>(Table[[#This Row],[price_lag]] - Table[[#This Row],[price]]) / Table[[#This Row],[price]]</f>
        <v>-0.10337279489500648</v>
      </c>
    </row>
    <row r="1428" spans="1:6" hidden="1" x14ac:dyDescent="0.2">
      <c r="A1428" t="s">
        <v>506</v>
      </c>
      <c r="B1428" t="s">
        <v>434</v>
      </c>
      <c r="C1428">
        <v>10.2863418224246</v>
      </c>
      <c r="D1428">
        <v>88.462539672851562</v>
      </c>
      <c r="E1428">
        <v>94.185516357421875</v>
      </c>
      <c r="F1428">
        <f>(Table[[#This Row],[price_lag]] - Table[[#This Row],[price]]) / Table[[#This Row],[price]]</f>
        <v>6.4693786836041378E-2</v>
      </c>
    </row>
    <row r="1429" spans="1:6" hidden="1" x14ac:dyDescent="0.2">
      <c r="A1429" t="s">
        <v>506</v>
      </c>
      <c r="B1429" t="s">
        <v>435</v>
      </c>
      <c r="C1429">
        <v>0</v>
      </c>
      <c r="D1429">
        <v>207.25</v>
      </c>
      <c r="E1429">
        <v>242.8500061035156</v>
      </c>
      <c r="F1429">
        <f>(Table[[#This Row],[price_lag]] - Table[[#This Row],[price]]) / Table[[#This Row],[price]]</f>
        <v>0.17177325019790396</v>
      </c>
    </row>
    <row r="1430" spans="1:6" hidden="1" x14ac:dyDescent="0.2">
      <c r="A1430" t="s">
        <v>506</v>
      </c>
      <c r="B1430" t="s">
        <v>436</v>
      </c>
      <c r="C1430">
        <v>17.752851758684429</v>
      </c>
      <c r="D1430">
        <v>69.591178894042969</v>
      </c>
      <c r="E1430">
        <v>87.173965454101562</v>
      </c>
      <c r="F1430">
        <f>(Table[[#This Row],[price_lag]] - Table[[#This Row],[price]]) / Table[[#This Row],[price]]</f>
        <v>0.25265826559468857</v>
      </c>
    </row>
    <row r="1431" spans="1:6" hidden="1" x14ac:dyDescent="0.2">
      <c r="A1431" t="s">
        <v>506</v>
      </c>
      <c r="B1431" t="s">
        <v>437</v>
      </c>
      <c r="C1431">
        <v>53.507825158239001</v>
      </c>
      <c r="D1431">
        <v>196.84565734863281</v>
      </c>
      <c r="E1431">
        <v>171.89788818359381</v>
      </c>
      <c r="F1431">
        <f>(Table[[#This Row],[price_lag]] - Table[[#This Row],[price]]) / Table[[#This Row],[price]]</f>
        <v>-0.12673771675264381</v>
      </c>
    </row>
    <row r="1432" spans="1:6" hidden="1" x14ac:dyDescent="0.2">
      <c r="A1432" t="s">
        <v>506</v>
      </c>
      <c r="B1432" t="s">
        <v>438</v>
      </c>
      <c r="C1432">
        <v>11.052943949113811</v>
      </c>
      <c r="D1432">
        <v>100.802848815918</v>
      </c>
      <c r="E1432">
        <v>96.376815795898438</v>
      </c>
      <c r="F1432">
        <f>(Table[[#This Row],[price_lag]] - Table[[#This Row],[price]]) / Table[[#This Row],[price]]</f>
        <v>-4.390781681281844E-2</v>
      </c>
    </row>
    <row r="1433" spans="1:6" hidden="1" x14ac:dyDescent="0.2">
      <c r="A1433" t="s">
        <v>506</v>
      </c>
      <c r="B1433" t="s">
        <v>439</v>
      </c>
      <c r="C1433">
        <v>876.28297805786133</v>
      </c>
      <c r="D1433">
        <v>140.20527648925781</v>
      </c>
      <c r="E1433">
        <v>168.0721130371094</v>
      </c>
      <c r="F1433">
        <f>(Table[[#This Row],[price_lag]] - Table[[#This Row],[price]]) / Table[[#This Row],[price]]</f>
        <v>0.19875740232919609</v>
      </c>
    </row>
    <row r="1434" spans="1:6" hidden="1" x14ac:dyDescent="0.2">
      <c r="A1434" t="s">
        <v>506</v>
      </c>
      <c r="B1434" t="s">
        <v>440</v>
      </c>
      <c r="C1434">
        <v>30.910146836402099</v>
      </c>
      <c r="D1434">
        <v>497.70999145507812</v>
      </c>
      <c r="E1434">
        <v>512.30999755859375</v>
      </c>
      <c r="F1434">
        <f>(Table[[#This Row],[price_lag]] - Table[[#This Row],[price]]) / Table[[#This Row],[price]]</f>
        <v>2.9334364095910219E-2</v>
      </c>
    </row>
    <row r="1435" spans="1:6" hidden="1" x14ac:dyDescent="0.2">
      <c r="A1435" t="s">
        <v>506</v>
      </c>
      <c r="B1435" t="s">
        <v>441</v>
      </c>
      <c r="C1435">
        <v>33.741550758236748</v>
      </c>
      <c r="D1435">
        <v>82.329383850097656</v>
      </c>
      <c r="E1435">
        <v>89.761787414550781</v>
      </c>
      <c r="F1435">
        <f>(Table[[#This Row],[price_lag]] - Table[[#This Row],[price]]) / Table[[#This Row],[price]]</f>
        <v>9.0276438579763627E-2</v>
      </c>
    </row>
    <row r="1436" spans="1:6" hidden="1" x14ac:dyDescent="0.2">
      <c r="A1436" t="s">
        <v>506</v>
      </c>
      <c r="B1436" t="s">
        <v>442</v>
      </c>
      <c r="C1436">
        <v>498.38462242713342</v>
      </c>
      <c r="D1436">
        <v>259.16000366210938</v>
      </c>
      <c r="E1436">
        <v>317.66000366210938</v>
      </c>
      <c r="F1436">
        <f>(Table[[#This Row],[price_lag]] - Table[[#This Row],[price]]) / Table[[#This Row],[price]]</f>
        <v>0.22572927602004439</v>
      </c>
    </row>
    <row r="1437" spans="1:6" hidden="1" x14ac:dyDescent="0.2">
      <c r="A1437" t="s">
        <v>506</v>
      </c>
      <c r="B1437" t="s">
        <v>443</v>
      </c>
      <c r="C1437">
        <v>33.832912567611743</v>
      </c>
      <c r="D1437">
        <v>175.33622741699219</v>
      </c>
      <c r="E1437">
        <v>204.30650329589841</v>
      </c>
      <c r="F1437">
        <f>(Table[[#This Row],[price_lag]] - Table[[#This Row],[price]]) / Table[[#This Row],[price]]</f>
        <v>0.16522698306955047</v>
      </c>
    </row>
    <row r="1438" spans="1:6" hidden="1" x14ac:dyDescent="0.2">
      <c r="A1438" t="s">
        <v>506</v>
      </c>
      <c r="B1438" t="s">
        <v>444</v>
      </c>
      <c r="C1438">
        <v>62.779719761439729</v>
      </c>
      <c r="D1438">
        <v>439.45803833007812</v>
      </c>
      <c r="E1438">
        <v>350.87570190429688</v>
      </c>
      <c r="F1438">
        <f>(Table[[#This Row],[price_lag]] - Table[[#This Row],[price]]) / Table[[#This Row],[price]]</f>
        <v>-0.20157177409335911</v>
      </c>
    </row>
    <row r="1439" spans="1:6" hidden="1" x14ac:dyDescent="0.2">
      <c r="A1439" t="s">
        <v>506</v>
      </c>
      <c r="B1439" t="s">
        <v>445</v>
      </c>
      <c r="C1439">
        <v>15.97284131345496</v>
      </c>
      <c r="D1439">
        <v>72.197242736816406</v>
      </c>
      <c r="E1439">
        <v>80.251991271972656</v>
      </c>
      <c r="F1439">
        <f>(Table[[#This Row],[price_lag]] - Table[[#This Row],[price]]) / Table[[#This Row],[price]]</f>
        <v>0.11156587467638561</v>
      </c>
    </row>
    <row r="1440" spans="1:6" hidden="1" x14ac:dyDescent="0.2">
      <c r="A1440" t="s">
        <v>506</v>
      </c>
      <c r="B1440" t="s">
        <v>446</v>
      </c>
      <c r="C1440">
        <v>31.094350790917719</v>
      </c>
      <c r="D1440">
        <v>496.26583862304688</v>
      </c>
      <c r="E1440">
        <v>404.79196166992188</v>
      </c>
      <c r="F1440">
        <f>(Table[[#This Row],[price_lag]] - Table[[#This Row],[price]]) / Table[[#This Row],[price]]</f>
        <v>-0.18432434762572211</v>
      </c>
    </row>
    <row r="1441" spans="1:6" hidden="1" x14ac:dyDescent="0.2">
      <c r="A1441" t="s">
        <v>506</v>
      </c>
      <c r="B1441" t="s">
        <v>447</v>
      </c>
      <c r="C1441">
        <v>32.511995260786037</v>
      </c>
      <c r="D1441">
        <v>120.6724319458008</v>
      </c>
      <c r="E1441">
        <v>122.7442321777344</v>
      </c>
      <c r="F1441">
        <f>(Table[[#This Row],[price_lag]] - Table[[#This Row],[price]]) / Table[[#This Row],[price]]</f>
        <v>1.7168794881536349E-2</v>
      </c>
    </row>
    <row r="1442" spans="1:6" hidden="1" x14ac:dyDescent="0.2">
      <c r="A1442" t="s">
        <v>506</v>
      </c>
      <c r="B1442" t="s">
        <v>448</v>
      </c>
      <c r="C1442">
        <v>52.53993140326606</v>
      </c>
      <c r="D1442">
        <v>151.31500244140619</v>
      </c>
      <c r="E1442">
        <v>180.5885314941406</v>
      </c>
      <c r="F1442">
        <f>(Table[[#This Row],[price_lag]] - Table[[#This Row],[price]]) / Table[[#This Row],[price]]</f>
        <v>0.19346085041415514</v>
      </c>
    </row>
    <row r="1443" spans="1:6" hidden="1" x14ac:dyDescent="0.2">
      <c r="A1443" t="s">
        <v>506</v>
      </c>
      <c r="B1443" t="s">
        <v>449</v>
      </c>
      <c r="C1443">
        <v>136.80000305175781</v>
      </c>
      <c r="D1443">
        <v>54.720001220703118</v>
      </c>
      <c r="E1443">
        <v>71.989997863769531</v>
      </c>
      <c r="F1443">
        <f>(Table[[#This Row],[price_lag]] - Table[[#This Row],[price]]) / Table[[#This Row],[price]]</f>
        <v>0.31560665675812105</v>
      </c>
    </row>
    <row r="1444" spans="1:6" hidden="1" x14ac:dyDescent="0.2">
      <c r="A1444" t="s">
        <v>506</v>
      </c>
      <c r="B1444" t="s">
        <v>450</v>
      </c>
      <c r="C1444">
        <v>40.004559124217309</v>
      </c>
      <c r="D1444">
        <v>54.406200408935547</v>
      </c>
      <c r="E1444">
        <v>52.344509124755859</v>
      </c>
      <c r="F1444">
        <f>(Table[[#This Row],[price_lag]] - Table[[#This Row],[price]]) / Table[[#This Row],[price]]</f>
        <v>-3.7894417707601581E-2</v>
      </c>
    </row>
    <row r="1445" spans="1:6" hidden="1" x14ac:dyDescent="0.2">
      <c r="A1445" t="s">
        <v>506</v>
      </c>
      <c r="B1445" t="s">
        <v>451</v>
      </c>
      <c r="C1445">
        <v>30.982954931830129</v>
      </c>
      <c r="D1445">
        <v>335.41998291015619</v>
      </c>
      <c r="E1445">
        <v>436.414794921875</v>
      </c>
      <c r="F1445">
        <f>(Table[[#This Row],[price_lag]] - Table[[#This Row],[price]]) / Table[[#This Row],[price]]</f>
        <v>0.30109956817561084</v>
      </c>
    </row>
    <row r="1446" spans="1:6" hidden="1" x14ac:dyDescent="0.2">
      <c r="A1446" t="s">
        <v>506</v>
      </c>
      <c r="B1446" t="s">
        <v>452</v>
      </c>
      <c r="C1446">
        <v>39.268601056441518</v>
      </c>
      <c r="D1446">
        <v>1294.293090820312</v>
      </c>
      <c r="E1446">
        <v>1422.806274414062</v>
      </c>
      <c r="F1446">
        <f>(Table[[#This Row],[price_lag]] - Table[[#This Row],[price]]) / Table[[#This Row],[price]]</f>
        <v>9.9292180809139166E-2</v>
      </c>
    </row>
    <row r="1447" spans="1:6" hidden="1" x14ac:dyDescent="0.2">
      <c r="A1447" t="s">
        <v>506</v>
      </c>
      <c r="B1447" t="s">
        <v>453</v>
      </c>
      <c r="C1447">
        <v>37.757357558763097</v>
      </c>
      <c r="D1447">
        <v>261.28091430664062</v>
      </c>
      <c r="E1447">
        <v>265.4141845703125</v>
      </c>
      <c r="F1447">
        <f>(Table[[#This Row],[price_lag]] - Table[[#This Row],[price]]) / Table[[#This Row],[price]]</f>
        <v>1.5819258267065952E-2</v>
      </c>
    </row>
    <row r="1448" spans="1:6" hidden="1" x14ac:dyDescent="0.2">
      <c r="A1448" t="s">
        <v>506</v>
      </c>
      <c r="B1448" t="s">
        <v>454</v>
      </c>
      <c r="C1448">
        <v>60.787038449887874</v>
      </c>
      <c r="D1448">
        <v>65.650001525878906</v>
      </c>
      <c r="E1448">
        <v>75.980003356933594</v>
      </c>
      <c r="F1448">
        <f>(Table[[#This Row],[price_lag]] - Table[[#This Row],[price]]) / Table[[#This Row],[price]]</f>
        <v>0.15734960534589862</v>
      </c>
    </row>
    <row r="1449" spans="1:6" hidden="1" x14ac:dyDescent="0.2">
      <c r="A1449" t="s">
        <v>506</v>
      </c>
      <c r="B1449" t="s">
        <v>455</v>
      </c>
      <c r="C1449">
        <v>11.26593893224543</v>
      </c>
      <c r="D1449">
        <v>39.656105041503913</v>
      </c>
      <c r="E1449">
        <v>41.981132507324219</v>
      </c>
      <c r="F1449">
        <f>(Table[[#This Row],[price_lag]] - Table[[#This Row],[price]]) / Table[[#This Row],[price]]</f>
        <v>5.8629748518845747E-2</v>
      </c>
    </row>
    <row r="1450" spans="1:6" hidden="1" x14ac:dyDescent="0.2">
      <c r="A1450" t="s">
        <v>506</v>
      </c>
      <c r="B1450" t="s">
        <v>456</v>
      </c>
      <c r="C1450">
        <v>77.312501947930528</v>
      </c>
      <c r="D1450">
        <v>581.3900146484375</v>
      </c>
      <c r="E1450">
        <v>592.84002685546875</v>
      </c>
      <c r="F1450">
        <f>(Table[[#This Row],[price_lag]] - Table[[#This Row],[price]]) / Table[[#This Row],[price]]</f>
        <v>1.9694201686547699E-2</v>
      </c>
    </row>
    <row r="1451" spans="1:6" hidden="1" x14ac:dyDescent="0.2">
      <c r="A1451" t="s">
        <v>506</v>
      </c>
      <c r="B1451" t="s">
        <v>457</v>
      </c>
      <c r="C1451">
        <v>776.59225463867188</v>
      </c>
      <c r="D1451">
        <v>62.12738037109375</v>
      </c>
      <c r="E1451">
        <v>54.954517364501953</v>
      </c>
      <c r="F1451">
        <f>(Table[[#This Row],[price_lag]] - Table[[#This Row],[price]]) / Table[[#This Row],[price]]</f>
        <v>-0.1154541357409163</v>
      </c>
    </row>
    <row r="1452" spans="1:6" hidden="1" x14ac:dyDescent="0.2">
      <c r="A1452" t="s">
        <v>506</v>
      </c>
      <c r="B1452" t="s">
        <v>458</v>
      </c>
      <c r="C1452">
        <v>9.9320041323171075</v>
      </c>
      <c r="D1452">
        <v>40.919857025146477</v>
      </c>
      <c r="E1452">
        <v>44.341041564941413</v>
      </c>
      <c r="F1452">
        <f>(Table[[#This Row],[price_lag]] - Table[[#This Row],[price]]) / Table[[#This Row],[price]]</f>
        <v>8.3606952431249104E-2</v>
      </c>
    </row>
    <row r="1453" spans="1:6" hidden="1" x14ac:dyDescent="0.2">
      <c r="A1453" t="s">
        <v>506</v>
      </c>
      <c r="B1453" t="s">
        <v>459</v>
      </c>
      <c r="C1453">
        <v>21.429411944221052</v>
      </c>
      <c r="D1453">
        <v>72.860000610351562</v>
      </c>
      <c r="E1453">
        <v>93.300003051757812</v>
      </c>
      <c r="F1453">
        <f>(Table[[#This Row],[price_lag]] - Table[[#This Row],[price]]) / Table[[#This Row],[price]]</f>
        <v>0.28053804927504</v>
      </c>
    </row>
    <row r="1454" spans="1:6" hidden="1" x14ac:dyDescent="0.2">
      <c r="A1454" t="s">
        <v>506</v>
      </c>
      <c r="B1454" t="s">
        <v>460</v>
      </c>
      <c r="C1454">
        <v>46.945783366327703</v>
      </c>
      <c r="D1454">
        <v>43.190120697021477</v>
      </c>
      <c r="E1454">
        <v>39.45343017578125</v>
      </c>
      <c r="F1454">
        <f>(Table[[#This Row],[price_lag]] - Table[[#This Row],[price]]) / Table[[#This Row],[price]]</f>
        <v>-8.6517251189296193E-2</v>
      </c>
    </row>
    <row r="1455" spans="1:6" hidden="1" x14ac:dyDescent="0.2">
      <c r="A1455" t="s">
        <v>506</v>
      </c>
      <c r="B1455" t="s">
        <v>461</v>
      </c>
      <c r="C1455">
        <v>13.636161032177149</v>
      </c>
      <c r="D1455">
        <v>366.54000854492188</v>
      </c>
      <c r="E1455">
        <v>467.82000732421881</v>
      </c>
      <c r="F1455">
        <f>(Table[[#This Row],[price_lag]] - Table[[#This Row],[price]]) / Table[[#This Row],[price]]</f>
        <v>0.27631362584770719</v>
      </c>
    </row>
    <row r="1456" spans="1:6" hidden="1" x14ac:dyDescent="0.2">
      <c r="A1456" t="s">
        <v>506</v>
      </c>
      <c r="B1456" t="s">
        <v>462</v>
      </c>
      <c r="C1456">
        <v>21.40247021214109</v>
      </c>
      <c r="D1456">
        <v>232.0027770996094</v>
      </c>
      <c r="E1456">
        <v>227.32225036621091</v>
      </c>
      <c r="F1456">
        <f>(Table[[#This Row],[price_lag]] - Table[[#This Row],[price]]) / Table[[#This Row],[price]]</f>
        <v>-2.0174442702420456E-2</v>
      </c>
    </row>
    <row r="1457" spans="1:6" hidden="1" x14ac:dyDescent="0.2">
      <c r="A1457" t="s">
        <v>506</v>
      </c>
      <c r="B1457" t="s">
        <v>463</v>
      </c>
      <c r="C1457">
        <v>14.608204596043031</v>
      </c>
      <c r="D1457">
        <v>69.050003051757812</v>
      </c>
      <c r="E1457">
        <v>79.629997253417969</v>
      </c>
      <c r="F1457">
        <f>(Table[[#This Row],[price_lag]] - Table[[#This Row],[price]]) / Table[[#This Row],[price]]</f>
        <v>0.15322221193429506</v>
      </c>
    </row>
    <row r="1458" spans="1:6" hidden="1" x14ac:dyDescent="0.2">
      <c r="A1458" t="s">
        <v>506</v>
      </c>
      <c r="B1458" t="s">
        <v>464</v>
      </c>
      <c r="C1458">
        <v>18.640943254743309</v>
      </c>
      <c r="D1458">
        <v>104.3892822265625</v>
      </c>
      <c r="E1458">
        <v>97.376274108886719</v>
      </c>
      <c r="F1458">
        <f>(Table[[#This Row],[price_lag]] - Table[[#This Row],[price]]) / Table[[#This Row],[price]]</f>
        <v>-6.7181304134796296E-2</v>
      </c>
    </row>
    <row r="1459" spans="1:6" hidden="1" x14ac:dyDescent="0.2">
      <c r="A1459" t="s">
        <v>506</v>
      </c>
      <c r="B1459" t="s">
        <v>465</v>
      </c>
      <c r="C1459">
        <v>19.65339737709122</v>
      </c>
      <c r="D1459">
        <v>622.61962890625</v>
      </c>
      <c r="E1459">
        <v>750.3551025390625</v>
      </c>
      <c r="F1459">
        <f>(Table[[#This Row],[price_lag]] - Table[[#This Row],[price]]) / Table[[#This Row],[price]]</f>
        <v>0.20515812175276935</v>
      </c>
    </row>
    <row r="1460" spans="1:6" hidden="1" x14ac:dyDescent="0.2">
      <c r="A1460" t="s">
        <v>506</v>
      </c>
      <c r="B1460" t="s">
        <v>466</v>
      </c>
      <c r="C1460">
        <v>18.561074616980061</v>
      </c>
      <c r="D1460">
        <v>513.3463134765625</v>
      </c>
      <c r="E1460">
        <v>307.94369506835938</v>
      </c>
      <c r="F1460">
        <f>(Table[[#This Row],[price_lag]] - Table[[#This Row],[price]]) / Table[[#This Row],[price]]</f>
        <v>-0.40012485337070808</v>
      </c>
    </row>
    <row r="1461" spans="1:6" hidden="1" x14ac:dyDescent="0.2">
      <c r="A1461" t="s">
        <v>506</v>
      </c>
      <c r="B1461" t="s">
        <v>467</v>
      </c>
      <c r="C1461">
        <v>9.6171408463307717</v>
      </c>
      <c r="D1461">
        <v>187.34190368652341</v>
      </c>
      <c r="E1461">
        <v>180.80192565917969</v>
      </c>
      <c r="F1461">
        <f>(Table[[#This Row],[price_lag]] - Table[[#This Row],[price]]) / Table[[#This Row],[price]]</f>
        <v>-3.4909317662785017E-2</v>
      </c>
    </row>
    <row r="1462" spans="1:6" hidden="1" x14ac:dyDescent="0.2">
      <c r="A1462" t="s">
        <v>506</v>
      </c>
      <c r="B1462" t="s">
        <v>468</v>
      </c>
      <c r="C1462">
        <v>0</v>
      </c>
      <c r="D1462">
        <v>129.08323669433591</v>
      </c>
      <c r="E1462">
        <v>132.49464416503909</v>
      </c>
      <c r="F1462">
        <f>(Table[[#This Row],[price_lag]] - Table[[#This Row],[price]]) / Table[[#This Row],[price]]</f>
        <v>2.6427966621113338E-2</v>
      </c>
    </row>
    <row r="1463" spans="1:6" hidden="1" x14ac:dyDescent="0.2">
      <c r="A1463" t="s">
        <v>506</v>
      </c>
      <c r="B1463" t="s">
        <v>469</v>
      </c>
      <c r="C1463">
        <v>153.06661779230291</v>
      </c>
      <c r="D1463">
        <v>67.349311828613281</v>
      </c>
      <c r="E1463">
        <v>62.330207824707031</v>
      </c>
      <c r="F1463">
        <f>(Table[[#This Row],[price_lag]] - Table[[#This Row],[price]]) / Table[[#This Row],[price]]</f>
        <v>-7.4523463828087541E-2</v>
      </c>
    </row>
    <row r="1464" spans="1:6" hidden="1" x14ac:dyDescent="0.2">
      <c r="A1464" t="s">
        <v>506</v>
      </c>
      <c r="B1464" t="s">
        <v>470</v>
      </c>
      <c r="C1464">
        <v>26.68057955228365</v>
      </c>
      <c r="D1464">
        <v>97.1173095703125</v>
      </c>
      <c r="E1464">
        <v>100.714973449707</v>
      </c>
      <c r="F1464">
        <f>(Table[[#This Row],[price_lag]] - Table[[#This Row],[price]]) / Table[[#This Row],[price]]</f>
        <v>3.704451755626334E-2</v>
      </c>
    </row>
    <row r="1465" spans="1:6" hidden="1" x14ac:dyDescent="0.2">
      <c r="A1465" t="s">
        <v>506</v>
      </c>
      <c r="B1465" t="s">
        <v>471</v>
      </c>
      <c r="C1465">
        <v>29.819226377948201</v>
      </c>
      <c r="D1465">
        <v>251.67427062988281</v>
      </c>
      <c r="E1465">
        <v>287.08285522460938</v>
      </c>
      <c r="F1465">
        <f>(Table[[#This Row],[price_lag]] - Table[[#This Row],[price]]) / Table[[#This Row],[price]]</f>
        <v>0.14069211169702417</v>
      </c>
    </row>
    <row r="1466" spans="1:6" hidden="1" x14ac:dyDescent="0.2">
      <c r="A1466" t="s">
        <v>506</v>
      </c>
      <c r="B1466" t="s">
        <v>472</v>
      </c>
      <c r="C1466">
        <v>44.588617531650037</v>
      </c>
      <c r="D1466">
        <v>296.06842041015619</v>
      </c>
      <c r="E1466">
        <v>310.32095336914062</v>
      </c>
      <c r="F1466">
        <f>(Table[[#This Row],[price_lag]] - Table[[#This Row],[price]]) / Table[[#This Row],[price]]</f>
        <v>4.8139321779877065E-2</v>
      </c>
    </row>
    <row r="1467" spans="1:6" hidden="1" x14ac:dyDescent="0.2">
      <c r="A1467" t="s">
        <v>506</v>
      </c>
      <c r="B1467" t="s">
        <v>473</v>
      </c>
      <c r="C1467">
        <v>9.1494856209590516</v>
      </c>
      <c r="D1467">
        <v>42.45361328125</v>
      </c>
      <c r="E1467">
        <v>41.147991180419922</v>
      </c>
      <c r="F1467">
        <f>(Table[[#This Row],[price_lag]] - Table[[#This Row],[price]]) / Table[[#This Row],[price]]</f>
        <v>-3.0754086635229168E-2</v>
      </c>
    </row>
    <row r="1468" spans="1:6" hidden="1" x14ac:dyDescent="0.2">
      <c r="A1468" t="s">
        <v>506</v>
      </c>
      <c r="B1468" t="s">
        <v>474</v>
      </c>
      <c r="C1468">
        <v>48.097222948831217</v>
      </c>
      <c r="D1468">
        <v>484.82000732421881</v>
      </c>
      <c r="E1468">
        <v>445.20001220703119</v>
      </c>
      <c r="F1468">
        <f>(Table[[#This Row],[price_lag]] - Table[[#This Row],[price]]) / Table[[#This Row],[price]]</f>
        <v>-8.1721039805793566E-2</v>
      </c>
    </row>
    <row r="1469" spans="1:6" hidden="1" x14ac:dyDescent="0.2">
      <c r="A1469" t="s">
        <v>506</v>
      </c>
      <c r="B1469" t="s">
        <v>475</v>
      </c>
      <c r="C1469">
        <v>0</v>
      </c>
      <c r="D1469">
        <v>8.3932352066040039</v>
      </c>
      <c r="E1469">
        <v>8.728459358215332</v>
      </c>
      <c r="F1469">
        <f>(Table[[#This Row],[price_lag]] - Table[[#This Row],[price]]) / Table[[#This Row],[price]]</f>
        <v>3.9939801918998472E-2</v>
      </c>
    </row>
    <row r="1470" spans="1:6" hidden="1" x14ac:dyDescent="0.2">
      <c r="A1470" t="s">
        <v>506</v>
      </c>
      <c r="B1470" t="s">
        <v>476</v>
      </c>
      <c r="C1470">
        <v>15.310900819067861</v>
      </c>
      <c r="D1470">
        <v>31.234237670898441</v>
      </c>
      <c r="E1470">
        <v>31.638959884643551</v>
      </c>
      <c r="F1470">
        <f>(Table[[#This Row],[price_lag]] - Table[[#This Row],[price]]) / Table[[#This Row],[price]]</f>
        <v>1.2957646605929423E-2</v>
      </c>
    </row>
    <row r="1471" spans="1:6" hidden="1" x14ac:dyDescent="0.2">
      <c r="A1471" t="s">
        <v>506</v>
      </c>
      <c r="B1471" t="s">
        <v>477</v>
      </c>
      <c r="C1471">
        <v>37.561844135152889</v>
      </c>
      <c r="D1471">
        <v>348.57391357421881</v>
      </c>
      <c r="E1471">
        <v>353.7257080078125</v>
      </c>
      <c r="F1471">
        <f>(Table[[#This Row],[price_lag]] - Table[[#This Row],[price]]) / Table[[#This Row],[price]]</f>
        <v>1.4779632763588221E-2</v>
      </c>
    </row>
    <row r="1472" spans="1:6" hidden="1" x14ac:dyDescent="0.2">
      <c r="A1472" t="s">
        <v>506</v>
      </c>
      <c r="B1472" t="s">
        <v>478</v>
      </c>
      <c r="C1472">
        <v>0</v>
      </c>
      <c r="D1472">
        <v>117.002067565918</v>
      </c>
      <c r="E1472">
        <v>193.33201599121091</v>
      </c>
      <c r="F1472">
        <f>(Table[[#This Row],[price_lag]] - Table[[#This Row],[price]]) / Table[[#This Row],[price]]</f>
        <v>0.65238119302711683</v>
      </c>
    </row>
    <row r="1473" spans="1:6" hidden="1" x14ac:dyDescent="0.2">
      <c r="A1473" t="s">
        <v>506</v>
      </c>
      <c r="B1473" t="s">
        <v>479</v>
      </c>
      <c r="C1473">
        <v>59.818743676254428</v>
      </c>
      <c r="D1473">
        <v>232.09672546386719</v>
      </c>
      <c r="E1473">
        <v>259.94363403320312</v>
      </c>
      <c r="F1473">
        <f>(Table[[#This Row],[price_lag]] - Table[[#This Row],[price]]) / Table[[#This Row],[price]]</f>
        <v>0.11997975634374533</v>
      </c>
    </row>
    <row r="1474" spans="1:6" hidden="1" x14ac:dyDescent="0.2">
      <c r="A1474" t="s">
        <v>506</v>
      </c>
      <c r="B1474" t="s">
        <v>480</v>
      </c>
      <c r="C1474">
        <v>16.522783551897319</v>
      </c>
      <c r="D1474">
        <v>69.39569091796875</v>
      </c>
      <c r="E1474">
        <v>72.226234436035156</v>
      </c>
      <c r="F1474">
        <f>(Table[[#This Row],[price_lag]] - Table[[#This Row],[price]]) / Table[[#This Row],[price]]</f>
        <v>4.0788462231932165E-2</v>
      </c>
    </row>
    <row r="1475" spans="1:6" hidden="1" x14ac:dyDescent="0.2">
      <c r="A1475" t="s">
        <v>506</v>
      </c>
      <c r="B1475" t="s">
        <v>481</v>
      </c>
      <c r="C1475">
        <v>24.823021213052719</v>
      </c>
      <c r="D1475">
        <v>981.00579833984375</v>
      </c>
      <c r="E1475">
        <v>1035.309936523438</v>
      </c>
      <c r="F1475">
        <f>(Table[[#This Row],[price_lag]] - Table[[#This Row],[price]]) / Table[[#This Row],[price]]</f>
        <v>5.5355573102109187E-2</v>
      </c>
    </row>
    <row r="1476" spans="1:6" hidden="1" x14ac:dyDescent="0.2">
      <c r="A1476" t="s">
        <v>506</v>
      </c>
      <c r="B1476" t="s">
        <v>482</v>
      </c>
      <c r="C1476">
        <v>24.02554978715613</v>
      </c>
      <c r="D1476">
        <v>180.67213439941409</v>
      </c>
      <c r="E1476">
        <v>208.82940673828119</v>
      </c>
      <c r="F1476">
        <f>(Table[[#This Row],[price_lag]] - Table[[#This Row],[price]]) / Table[[#This Row],[price]]</f>
        <v>0.15584734432051087</v>
      </c>
    </row>
    <row r="1477" spans="1:6" hidden="1" x14ac:dyDescent="0.2">
      <c r="A1477" t="s">
        <v>506</v>
      </c>
      <c r="B1477" t="s">
        <v>483</v>
      </c>
      <c r="C1477">
        <v>38.926979473658967</v>
      </c>
      <c r="D1477">
        <v>87.196434020996094</v>
      </c>
      <c r="E1477">
        <v>97.353706359863281</v>
      </c>
      <c r="F1477">
        <f>(Table[[#This Row],[price_lag]] - Table[[#This Row],[price]]) / Table[[#This Row],[price]]</f>
        <v>0.11648724460935421</v>
      </c>
    </row>
    <row r="1478" spans="1:6" hidden="1" x14ac:dyDescent="0.2">
      <c r="A1478" t="s">
        <v>506</v>
      </c>
      <c r="B1478" t="s">
        <v>484</v>
      </c>
      <c r="C1478">
        <v>13.483480590483101</v>
      </c>
      <c r="D1478">
        <v>97.620399475097656</v>
      </c>
      <c r="E1478">
        <v>123.1766052246094</v>
      </c>
      <c r="F1478">
        <f>(Table[[#This Row],[price_lag]] - Table[[#This Row],[price]]) / Table[[#This Row],[price]]</f>
        <v>0.26179165304512991</v>
      </c>
    </row>
    <row r="1479" spans="1:6" hidden="1" x14ac:dyDescent="0.2">
      <c r="A1479" t="s">
        <v>506</v>
      </c>
      <c r="B1479" t="s">
        <v>485</v>
      </c>
      <c r="C1479">
        <v>0</v>
      </c>
      <c r="D1479">
        <v>10.72999954223633</v>
      </c>
      <c r="E1479">
        <v>11.460000038146971</v>
      </c>
      <c r="F1479">
        <f>(Table[[#This Row],[price_lag]] - Table[[#This Row],[price]]) / Table[[#This Row],[price]]</f>
        <v>6.8033599911831444E-2</v>
      </c>
    </row>
    <row r="1480" spans="1:6" hidden="1" x14ac:dyDescent="0.2">
      <c r="A1480" t="s">
        <v>506</v>
      </c>
      <c r="B1480" t="s">
        <v>486</v>
      </c>
      <c r="C1480">
        <v>36.228030240988431</v>
      </c>
      <c r="D1480">
        <v>228.9611511230469</v>
      </c>
      <c r="E1480">
        <v>227.08583068847659</v>
      </c>
      <c r="F1480">
        <f>(Table[[#This Row],[price_lag]] - Table[[#This Row],[price]]) / Table[[#This Row],[price]]</f>
        <v>-8.190561697353143E-3</v>
      </c>
    </row>
    <row r="1481" spans="1:6" hidden="1" x14ac:dyDescent="0.2">
      <c r="A1481" t="s">
        <v>506</v>
      </c>
      <c r="B1481" t="s">
        <v>487</v>
      </c>
      <c r="C1481">
        <v>45.167893054438572</v>
      </c>
      <c r="D1481">
        <v>368.57000732421881</v>
      </c>
      <c r="E1481">
        <v>349.04000854492188</v>
      </c>
      <c r="F1481">
        <f>(Table[[#This Row],[price_lag]] - Table[[#This Row],[price]]) / Table[[#This Row],[price]]</f>
        <v>-5.2988573110120271E-2</v>
      </c>
    </row>
    <row r="1482" spans="1:6" hidden="1" x14ac:dyDescent="0.2">
      <c r="A1482" t="s">
        <v>506</v>
      </c>
      <c r="B1482" t="s">
        <v>488</v>
      </c>
      <c r="C1482">
        <v>11.65639057494047</v>
      </c>
      <c r="D1482">
        <v>106.306282043457</v>
      </c>
      <c r="E1482">
        <v>102.5276412963867</v>
      </c>
      <c r="F1482">
        <f>(Table[[#This Row],[price_lag]] - Table[[#This Row],[price]]) / Table[[#This Row],[price]]</f>
        <v>-3.554484903841925E-2</v>
      </c>
    </row>
    <row r="1483" spans="1:6" hidden="1" x14ac:dyDescent="0.2">
      <c r="A1483" t="s">
        <v>506</v>
      </c>
      <c r="B1483" t="s">
        <v>489</v>
      </c>
      <c r="C1483">
        <v>12.519514476153869</v>
      </c>
      <c r="D1483">
        <v>70.610061645507812</v>
      </c>
      <c r="E1483">
        <v>79.235481262207031</v>
      </c>
      <c r="F1483">
        <f>(Table[[#This Row],[price_lag]] - Table[[#This Row],[price]]) / Table[[#This Row],[price]]</f>
        <v>0.12215567322405765</v>
      </c>
    </row>
    <row r="1484" spans="1:6" hidden="1" x14ac:dyDescent="0.2">
      <c r="A1484" t="s">
        <v>506</v>
      </c>
      <c r="B1484" t="s">
        <v>490</v>
      </c>
      <c r="C1484">
        <v>94.525775909423828</v>
      </c>
      <c r="D1484">
        <v>151.2412414550781</v>
      </c>
      <c r="E1484">
        <v>152.45765686035159</v>
      </c>
      <c r="F1484">
        <f>(Table[[#This Row],[price_lag]] - Table[[#This Row],[price]]) / Table[[#This Row],[price]]</f>
        <v>8.0428816476939315E-3</v>
      </c>
    </row>
    <row r="1485" spans="1:6" hidden="1" x14ac:dyDescent="0.2">
      <c r="A1485" t="s">
        <v>506</v>
      </c>
      <c r="B1485" t="s">
        <v>491</v>
      </c>
      <c r="C1485">
        <v>45.019525097262473</v>
      </c>
      <c r="D1485">
        <v>223.2968444824219</v>
      </c>
      <c r="E1485">
        <v>218.44496154785159</v>
      </c>
      <c r="F1485">
        <f>(Table[[#This Row],[price_lag]] - Table[[#This Row],[price]]) / Table[[#This Row],[price]]</f>
        <v>-2.1728399009920879E-2</v>
      </c>
    </row>
    <row r="1486" spans="1:6" hidden="1" x14ac:dyDescent="0.2">
      <c r="A1486" t="s">
        <v>506</v>
      </c>
      <c r="B1486" t="s">
        <v>492</v>
      </c>
      <c r="C1486">
        <v>6.8964899402775179</v>
      </c>
      <c r="D1486">
        <v>40.275501251220703</v>
      </c>
      <c r="E1486">
        <v>63.864246368408203</v>
      </c>
      <c r="F1486">
        <f>(Table[[#This Row],[price_lag]] - Table[[#This Row],[price]]) / Table[[#This Row],[price]]</f>
        <v>0.58568470619524704</v>
      </c>
    </row>
    <row r="1487" spans="1:6" hidden="1" x14ac:dyDescent="0.2">
      <c r="A1487" t="s">
        <v>506</v>
      </c>
      <c r="B1487" t="s">
        <v>493</v>
      </c>
      <c r="C1487">
        <v>64.856936714865938</v>
      </c>
      <c r="D1487">
        <v>28.537052154541019</v>
      </c>
      <c r="E1487">
        <v>25.241706848144531</v>
      </c>
      <c r="F1487">
        <f>(Table[[#This Row],[price_lag]] - Table[[#This Row],[price]]) / Table[[#This Row],[price]]</f>
        <v>-0.11547602354127909</v>
      </c>
    </row>
    <row r="1488" spans="1:6" hidden="1" x14ac:dyDescent="0.2">
      <c r="A1488" t="s">
        <v>506</v>
      </c>
      <c r="B1488" t="s">
        <v>494</v>
      </c>
      <c r="C1488">
        <v>20.70333805490047</v>
      </c>
      <c r="D1488">
        <v>155.68910217285159</v>
      </c>
      <c r="E1488">
        <v>161.65399169921881</v>
      </c>
      <c r="F1488">
        <f>(Table[[#This Row],[price_lag]] - Table[[#This Row],[price]]) / Table[[#This Row],[price]]</f>
        <v>3.8312826287255373E-2</v>
      </c>
    </row>
    <row r="1489" spans="1:6" hidden="1" x14ac:dyDescent="0.2">
      <c r="A1489" t="s">
        <v>506</v>
      </c>
      <c r="B1489" t="s">
        <v>495</v>
      </c>
      <c r="C1489">
        <v>25.561811212907759</v>
      </c>
      <c r="D1489">
        <v>58.280929565429688</v>
      </c>
      <c r="E1489">
        <v>61.769504547119141</v>
      </c>
      <c r="F1489">
        <f>(Table[[#This Row],[price_lag]] - Table[[#This Row],[price]]) / Table[[#This Row],[price]]</f>
        <v>5.9857915920386418E-2</v>
      </c>
    </row>
    <row r="1490" spans="1:6" hidden="1" x14ac:dyDescent="0.2">
      <c r="A1490" t="s">
        <v>506</v>
      </c>
      <c r="B1490" t="s">
        <v>496</v>
      </c>
      <c r="C1490">
        <v>35.800897973215477</v>
      </c>
      <c r="D1490">
        <v>335.09640502929688</v>
      </c>
      <c r="E1490">
        <v>304.83294677734381</v>
      </c>
      <c r="F1490">
        <f>(Table[[#This Row],[price_lag]] - Table[[#This Row],[price]]) / Table[[#This Row],[price]]</f>
        <v>-9.0312691505321244E-2</v>
      </c>
    </row>
    <row r="1491" spans="1:6" hidden="1" x14ac:dyDescent="0.2">
      <c r="A1491" t="s">
        <v>506</v>
      </c>
      <c r="B1491" t="s">
        <v>497</v>
      </c>
      <c r="C1491">
        <v>233.5299987792969</v>
      </c>
      <c r="D1491">
        <v>233.5299987792969</v>
      </c>
      <c r="E1491">
        <v>240</v>
      </c>
      <c r="F1491">
        <f>(Table[[#This Row],[price_lag]] - Table[[#This Row],[price]]) / Table[[#This Row],[price]]</f>
        <v>2.7705225258095108E-2</v>
      </c>
    </row>
    <row r="1492" spans="1:6" hidden="1" x14ac:dyDescent="0.2">
      <c r="A1492" t="s">
        <v>506</v>
      </c>
      <c r="B1492" t="s">
        <v>498</v>
      </c>
      <c r="C1492">
        <v>30.044978597889781</v>
      </c>
      <c r="D1492">
        <v>82.924140930175781</v>
      </c>
      <c r="E1492">
        <v>93.262519836425781</v>
      </c>
      <c r="F1492">
        <f>(Table[[#This Row],[price_lag]] - Table[[#This Row],[price]]) / Table[[#This Row],[price]]</f>
        <v>0.12467272847547707</v>
      </c>
    </row>
    <row r="1493" spans="1:6" hidden="1" x14ac:dyDescent="0.2">
      <c r="A1493" t="s">
        <v>506</v>
      </c>
      <c r="B1493" t="s">
        <v>499</v>
      </c>
      <c r="C1493">
        <v>20.573418481009352</v>
      </c>
      <c r="D1493">
        <v>69.126686096191406</v>
      </c>
      <c r="E1493">
        <v>67.053253173828125</v>
      </c>
      <c r="F1493">
        <f>(Table[[#This Row],[price_lag]] - Table[[#This Row],[price]]) / Table[[#This Row],[price]]</f>
        <v>-2.9994681351830619E-2</v>
      </c>
    </row>
    <row r="1494" spans="1:6" hidden="1" x14ac:dyDescent="0.2">
      <c r="A1494" t="s">
        <v>506</v>
      </c>
      <c r="B1494" t="s">
        <v>500</v>
      </c>
      <c r="C1494">
        <v>42.904146166815281</v>
      </c>
      <c r="D1494">
        <v>118.4154434204102</v>
      </c>
      <c r="E1494">
        <v>128.6383972167969</v>
      </c>
      <c r="F1494">
        <f>(Table[[#This Row],[price_lag]] - Table[[#This Row],[price]]) / Table[[#This Row],[price]]</f>
        <v>8.6331254615938602E-2</v>
      </c>
    </row>
    <row r="1495" spans="1:6" hidden="1" x14ac:dyDescent="0.2">
      <c r="A1495" t="s">
        <v>506</v>
      </c>
      <c r="B1495" t="s">
        <v>501</v>
      </c>
      <c r="C1495">
        <v>42.610139113206131</v>
      </c>
      <c r="D1495">
        <v>155.10090637207031</v>
      </c>
      <c r="E1495">
        <v>146.76911926269531</v>
      </c>
      <c r="F1495">
        <f>(Table[[#This Row],[price_lag]] - Table[[#This Row],[price]]) / Table[[#This Row],[price]]</f>
        <v>-5.3718494006656174E-2</v>
      </c>
    </row>
    <row r="1496" spans="1:6" hidden="1" x14ac:dyDescent="0.2">
      <c r="A1496" t="s">
        <v>506</v>
      </c>
      <c r="B1496" t="s">
        <v>502</v>
      </c>
      <c r="C1496">
        <v>26.757575526381981</v>
      </c>
      <c r="D1496">
        <v>282.55999755859381</v>
      </c>
      <c r="E1496">
        <v>308.3599853515625</v>
      </c>
      <c r="F1496">
        <f>(Table[[#This Row],[price_lag]] - Table[[#This Row],[price]]) / Table[[#This Row],[price]]</f>
        <v>9.1307998357476661E-2</v>
      </c>
    </row>
    <row r="1497" spans="1:6" hidden="1" x14ac:dyDescent="0.2">
      <c r="A1497" t="s">
        <v>506</v>
      </c>
      <c r="B1497" t="s">
        <v>503</v>
      </c>
      <c r="C1497">
        <v>30.519852430924129</v>
      </c>
      <c r="D1497">
        <v>112.3130569458008</v>
      </c>
      <c r="E1497">
        <v>90.746055603027344</v>
      </c>
      <c r="F1497">
        <f>(Table[[#This Row],[price_lag]] - Table[[#This Row],[price]]) / Table[[#This Row],[price]]</f>
        <v>-0.19202577090552433</v>
      </c>
    </row>
    <row r="1498" spans="1:6" hidden="1" x14ac:dyDescent="0.2">
      <c r="A1498" t="s">
        <v>506</v>
      </c>
      <c r="B1498" t="s">
        <v>504</v>
      </c>
      <c r="C1498">
        <v>28.774629417040671</v>
      </c>
      <c r="D1498">
        <v>162.2889099121094</v>
      </c>
      <c r="E1498">
        <v>154.23236083984381</v>
      </c>
      <c r="F1498">
        <f>(Table[[#This Row],[price_lag]] - Table[[#This Row],[price]]) / Table[[#This Row],[price]]</f>
        <v>-4.9643250895139858E-2</v>
      </c>
    </row>
    <row r="1499" spans="1:6" hidden="1" x14ac:dyDescent="0.2">
      <c r="A1499" t="s">
        <v>507</v>
      </c>
      <c r="B1499" t="s">
        <v>6</v>
      </c>
      <c r="C1499">
        <v>23.64500102712147</v>
      </c>
      <c r="D1499">
        <v>126.73720550537109</v>
      </c>
      <c r="E1499">
        <v>144.84967041015619</v>
      </c>
      <c r="F1499">
        <f>(Table[[#This Row],[price_lag]] - Table[[#This Row],[price]]) / Table[[#This Row],[price]]</f>
        <v>0.14291355748740647</v>
      </c>
    </row>
    <row r="1500" spans="1:6" hidden="1" x14ac:dyDescent="0.2">
      <c r="A1500" t="s">
        <v>507</v>
      </c>
      <c r="B1500" t="s">
        <v>7</v>
      </c>
      <c r="C1500">
        <v>22.138814748861311</v>
      </c>
      <c r="D1500">
        <v>66.648193359375</v>
      </c>
      <c r="E1500">
        <v>64.366973876953125</v>
      </c>
      <c r="F1500">
        <f>(Table[[#This Row],[price_lag]] - Table[[#This Row],[price]]) / Table[[#This Row],[price]]</f>
        <v>-3.4227776739892524E-2</v>
      </c>
    </row>
    <row r="1501" spans="1:6" hidden="1" x14ac:dyDescent="0.2">
      <c r="A1501" t="s">
        <v>507</v>
      </c>
      <c r="B1501" t="s">
        <v>8</v>
      </c>
      <c r="C1501">
        <v>5.1667817049666853</v>
      </c>
      <c r="D1501">
        <v>110.1444396972656</v>
      </c>
      <c r="E1501">
        <v>130.20683288574219</v>
      </c>
      <c r="F1501">
        <f>(Table[[#This Row],[price_lag]] - Table[[#This Row],[price]]) / Table[[#This Row],[price]]</f>
        <v>0.18214621858006194</v>
      </c>
    </row>
    <row r="1502" spans="1:6" hidden="1" x14ac:dyDescent="0.2">
      <c r="A1502" t="s">
        <v>507</v>
      </c>
      <c r="B1502" t="s">
        <v>9</v>
      </c>
      <c r="C1502">
        <v>0</v>
      </c>
      <c r="D1502">
        <v>168.88835144042969</v>
      </c>
      <c r="E1502">
        <v>202.71952819824219</v>
      </c>
      <c r="F1502">
        <f>(Table[[#This Row],[price_lag]] - Table[[#This Row],[price]]) / Table[[#This Row],[price]]</f>
        <v>0.20031681563157086</v>
      </c>
    </row>
    <row r="1503" spans="1:6" hidden="1" x14ac:dyDescent="0.2">
      <c r="A1503" t="s">
        <v>507</v>
      </c>
      <c r="B1503" t="s">
        <v>10</v>
      </c>
      <c r="C1503">
        <v>23.868699126191188</v>
      </c>
      <c r="D1503">
        <v>347.52825927734381</v>
      </c>
      <c r="E1503">
        <v>308.95510864257812</v>
      </c>
      <c r="F1503">
        <f>(Table[[#This Row],[price_lag]] - Table[[#This Row],[price]]) / Table[[#This Row],[price]]</f>
        <v>-0.1109928462076015</v>
      </c>
    </row>
    <row r="1504" spans="1:6" hidden="1" x14ac:dyDescent="0.2">
      <c r="A1504" t="s">
        <v>507</v>
      </c>
      <c r="B1504" t="s">
        <v>11</v>
      </c>
      <c r="C1504">
        <v>29.251967702950701</v>
      </c>
      <c r="D1504">
        <v>445.79998779296881</v>
      </c>
      <c r="E1504">
        <v>383.52999877929688</v>
      </c>
      <c r="F1504">
        <f>(Table[[#This Row],[price_lag]] - Table[[#This Row],[price]]) / Table[[#This Row],[price]]</f>
        <v>-0.13968145069261498</v>
      </c>
    </row>
    <row r="1505" spans="1:6" hidden="1" x14ac:dyDescent="0.2">
      <c r="A1505" t="s">
        <v>507</v>
      </c>
      <c r="B1505" t="s">
        <v>12</v>
      </c>
      <c r="C1505">
        <v>102.0333353678385</v>
      </c>
      <c r="D1505">
        <v>122.44000244140619</v>
      </c>
      <c r="E1505">
        <v>102.7399978637695</v>
      </c>
      <c r="F1505">
        <f>(Table[[#This Row],[price_lag]] - Table[[#This Row],[price]]) / Table[[#This Row],[price]]</f>
        <v>-0.16089516648829005</v>
      </c>
    </row>
    <row r="1506" spans="1:6" hidden="1" x14ac:dyDescent="0.2">
      <c r="A1506" t="s">
        <v>507</v>
      </c>
      <c r="B1506" t="s">
        <v>13</v>
      </c>
      <c r="C1506">
        <v>3.771531430980827</v>
      </c>
      <c r="D1506">
        <v>11.918039321899411</v>
      </c>
      <c r="E1506">
        <v>11.886983871459959</v>
      </c>
      <c r="F1506">
        <f>(Table[[#This Row],[price_lag]] - Table[[#This Row],[price]]) / Table[[#This Row],[price]]</f>
        <v>-2.6057516341959808E-3</v>
      </c>
    </row>
    <row r="1507" spans="1:6" hidden="1" x14ac:dyDescent="0.2">
      <c r="A1507" t="s">
        <v>507</v>
      </c>
      <c r="B1507" t="s">
        <v>14</v>
      </c>
      <c r="C1507">
        <v>7.3224328285039846</v>
      </c>
      <c r="D1507">
        <v>100.7566757202148</v>
      </c>
      <c r="E1507">
        <v>109.4086380004883</v>
      </c>
      <c r="F1507">
        <f>(Table[[#This Row],[price_lag]] - Table[[#This Row],[price]]) / Table[[#This Row],[price]]</f>
        <v>8.5869866372910233E-2</v>
      </c>
    </row>
    <row r="1508" spans="1:6" hidden="1" x14ac:dyDescent="0.2">
      <c r="A1508" t="s">
        <v>507</v>
      </c>
      <c r="B1508" t="s">
        <v>15</v>
      </c>
      <c r="C1508">
        <v>29.709942000252859</v>
      </c>
      <c r="D1508">
        <v>133.10054016113281</v>
      </c>
      <c r="E1508">
        <v>116.04583740234381</v>
      </c>
      <c r="F1508">
        <f>(Table[[#This Row],[price_lag]] - Table[[#This Row],[price]]) / Table[[#This Row],[price]]</f>
        <v>-0.12813398606904536</v>
      </c>
    </row>
    <row r="1509" spans="1:6" hidden="1" x14ac:dyDescent="0.2">
      <c r="A1509" t="s">
        <v>507</v>
      </c>
      <c r="B1509" t="s">
        <v>16</v>
      </c>
      <c r="C1509">
        <v>25.2235550312359</v>
      </c>
      <c r="D1509">
        <v>279.47698974609381</v>
      </c>
      <c r="E1509">
        <v>287.26123046875</v>
      </c>
      <c r="F1509">
        <f>(Table[[#This Row],[price_lag]] - Table[[#This Row],[price]]) / Table[[#This Row],[price]]</f>
        <v>2.7852885955756905E-2</v>
      </c>
    </row>
    <row r="1510" spans="1:6" hidden="1" x14ac:dyDescent="0.2">
      <c r="A1510" t="s">
        <v>507</v>
      </c>
      <c r="B1510" t="s">
        <v>17</v>
      </c>
      <c r="C1510">
        <v>44.530404580606003</v>
      </c>
      <c r="D1510">
        <v>131.80999755859381</v>
      </c>
      <c r="E1510">
        <v>119.4599990844727</v>
      </c>
      <c r="F1510">
        <f>(Table[[#This Row],[price_lag]] - Table[[#This Row],[price]]) / Table[[#This Row],[price]]</f>
        <v>-9.3695460912448125E-2</v>
      </c>
    </row>
    <row r="1511" spans="1:6" hidden="1" x14ac:dyDescent="0.2">
      <c r="A1511" t="s">
        <v>507</v>
      </c>
      <c r="B1511" t="s">
        <v>18</v>
      </c>
      <c r="C1511">
        <v>25.68817138671875</v>
      </c>
      <c r="D1511">
        <v>95.55999755859375</v>
      </c>
      <c r="E1511">
        <v>80.5</v>
      </c>
      <c r="F1511">
        <f>(Table[[#This Row],[price_lag]] - Table[[#This Row],[price]]) / Table[[#This Row],[price]]</f>
        <v>-0.1575972995327834</v>
      </c>
    </row>
    <row r="1512" spans="1:6" hidden="1" x14ac:dyDescent="0.2">
      <c r="A1512" t="s">
        <v>507</v>
      </c>
      <c r="B1512" t="s">
        <v>19</v>
      </c>
      <c r="C1512">
        <v>72.749085261903971</v>
      </c>
      <c r="D1512">
        <v>84.388938903808594</v>
      </c>
      <c r="E1512">
        <v>70.952873229980469</v>
      </c>
      <c r="F1512">
        <f>(Table[[#This Row],[price_lag]] - Table[[#This Row],[price]]) / Table[[#This Row],[price]]</f>
        <v>-0.15921595707161731</v>
      </c>
    </row>
    <row r="1513" spans="1:6" hidden="1" x14ac:dyDescent="0.2">
      <c r="A1513" t="s">
        <v>507</v>
      </c>
      <c r="B1513" t="s">
        <v>20</v>
      </c>
      <c r="C1513">
        <v>50.353580050998261</v>
      </c>
      <c r="D1513">
        <v>90.636444091796875</v>
      </c>
      <c r="E1513">
        <v>88.123664855957031</v>
      </c>
      <c r="F1513">
        <f>(Table[[#This Row],[price_lag]] - Table[[#This Row],[price]]) / Table[[#This Row],[price]]</f>
        <v>-2.7723718213116273E-2</v>
      </c>
    </row>
    <row r="1514" spans="1:6" hidden="1" x14ac:dyDescent="0.2">
      <c r="A1514" t="s">
        <v>507</v>
      </c>
      <c r="B1514" t="s">
        <v>21</v>
      </c>
      <c r="C1514">
        <v>37.154676588319191</v>
      </c>
      <c r="D1514">
        <v>206.58000183105469</v>
      </c>
      <c r="E1514">
        <v>158.86000061035159</v>
      </c>
      <c r="F1514">
        <f>(Table[[#This Row],[price_lag]] - Table[[#This Row],[price]]) / Table[[#This Row],[price]]</f>
        <v>-0.23100010067639307</v>
      </c>
    </row>
    <row r="1515" spans="1:6" hidden="1" x14ac:dyDescent="0.2">
      <c r="A1515" t="s">
        <v>507</v>
      </c>
      <c r="B1515" t="s">
        <v>22</v>
      </c>
      <c r="C1515">
        <v>19.571669704942821</v>
      </c>
      <c r="D1515">
        <v>129.95588684082031</v>
      </c>
      <c r="E1515">
        <v>129.98020935058591</v>
      </c>
      <c r="F1515">
        <f>(Table[[#This Row],[price_lag]] - Table[[#This Row],[price]]) / Table[[#This Row],[price]]</f>
        <v>1.8715973825324749E-4</v>
      </c>
    </row>
    <row r="1516" spans="1:6" hidden="1" x14ac:dyDescent="0.2">
      <c r="A1516" t="s">
        <v>507</v>
      </c>
      <c r="B1516" t="s">
        <v>23</v>
      </c>
      <c r="C1516">
        <v>24.763774871826168</v>
      </c>
      <c r="D1516">
        <v>57.451957702636719</v>
      </c>
      <c r="E1516">
        <v>62.85003662109375</v>
      </c>
      <c r="F1516">
        <f>(Table[[#This Row],[price_lag]] - Table[[#This Row],[price]]) / Table[[#This Row],[price]]</f>
        <v>9.3958137099465461E-2</v>
      </c>
    </row>
    <row r="1517" spans="1:6" hidden="1" x14ac:dyDescent="0.2">
      <c r="A1517" t="s">
        <v>507</v>
      </c>
      <c r="B1517" t="s">
        <v>24</v>
      </c>
      <c r="C1517">
        <v>6.5936909041591196</v>
      </c>
      <c r="D1517">
        <v>188.84330749511719</v>
      </c>
      <c r="E1517">
        <v>204.10057067871091</v>
      </c>
      <c r="F1517">
        <f>(Table[[#This Row],[price_lag]] - Table[[#This Row],[price]]) / Table[[#This Row],[price]]</f>
        <v>8.0793242746970098E-2</v>
      </c>
    </row>
    <row r="1518" spans="1:6" hidden="1" x14ac:dyDescent="0.2">
      <c r="A1518" t="s">
        <v>507</v>
      </c>
      <c r="B1518" t="s">
        <v>25</v>
      </c>
      <c r="C1518">
        <v>21.94630671206707</v>
      </c>
      <c r="D1518">
        <v>190.49394226074219</v>
      </c>
      <c r="E1518">
        <v>154.21412658691409</v>
      </c>
      <c r="F1518">
        <f>(Table[[#This Row],[price_lag]] - Table[[#This Row],[price]]) / Table[[#This Row],[price]]</f>
        <v>-0.19045128282436097</v>
      </c>
    </row>
    <row r="1519" spans="1:6" x14ac:dyDescent="0.2">
      <c r="A1519" t="s">
        <v>507</v>
      </c>
      <c r="B1519" t="s">
        <v>26</v>
      </c>
      <c r="C1519">
        <v>22.113221691500758</v>
      </c>
      <c r="D1519">
        <v>191.94276428222659</v>
      </c>
      <c r="E1519">
        <v>155.80143737792969</v>
      </c>
      <c r="F1519">
        <f>(Table[[#This Row],[price_lag]] - Table[[#This Row],[price]]) / Table[[#This Row],[price]]</f>
        <v>-0.18829220804153804</v>
      </c>
    </row>
    <row r="1520" spans="1:6" hidden="1" x14ac:dyDescent="0.2">
      <c r="A1520" t="s">
        <v>507</v>
      </c>
      <c r="B1520" t="s">
        <v>27</v>
      </c>
      <c r="C1520">
        <v>6.7588462409142354</v>
      </c>
      <c r="D1520">
        <v>48.596969604492188</v>
      </c>
      <c r="E1520">
        <v>57.01470947265625</v>
      </c>
      <c r="F1520">
        <f>(Table[[#This Row],[price_lag]] - Table[[#This Row],[price]]) / Table[[#This Row],[price]]</f>
        <v>0.17321532467295958</v>
      </c>
    </row>
    <row r="1521" spans="1:6" hidden="1" x14ac:dyDescent="0.2">
      <c r="A1521" t="s">
        <v>507</v>
      </c>
      <c r="B1521" t="s">
        <v>28</v>
      </c>
      <c r="C1521">
        <v>29.118421454178659</v>
      </c>
      <c r="D1521">
        <v>221.30000305175781</v>
      </c>
      <c r="E1521">
        <v>190.25999450683591</v>
      </c>
      <c r="F1521">
        <f>(Table[[#This Row],[price_lag]] - Table[[#This Row],[price]]) / Table[[#This Row],[price]]</f>
        <v>-0.14026212434196056</v>
      </c>
    </row>
    <row r="1522" spans="1:6" hidden="1" x14ac:dyDescent="0.2">
      <c r="A1522" t="s">
        <v>507</v>
      </c>
      <c r="B1522" t="s">
        <v>29</v>
      </c>
      <c r="C1522">
        <v>100.61437049798209</v>
      </c>
      <c r="D1522">
        <v>45.477695465087891</v>
      </c>
      <c r="E1522">
        <v>47.823745727539062</v>
      </c>
      <c r="F1522">
        <f>(Table[[#This Row],[price_lag]] - Table[[#This Row],[price]]) / Table[[#This Row],[price]]</f>
        <v>5.1586832588123931E-2</v>
      </c>
    </row>
    <row r="1523" spans="1:6" hidden="1" x14ac:dyDescent="0.2">
      <c r="A1523" t="s">
        <v>507</v>
      </c>
      <c r="B1523" t="s">
        <v>30</v>
      </c>
      <c r="C1523">
        <v>28.268286469694861</v>
      </c>
      <c r="D1523">
        <v>87.066322326660156</v>
      </c>
      <c r="E1523">
        <v>98.241928100585938</v>
      </c>
      <c r="F1523">
        <f>(Table[[#This Row],[price_lag]] - Table[[#This Row],[price]]) / Table[[#This Row],[price]]</f>
        <v>0.12835738865822927</v>
      </c>
    </row>
    <row r="1524" spans="1:6" hidden="1" x14ac:dyDescent="0.2">
      <c r="A1524" t="s">
        <v>507</v>
      </c>
      <c r="B1524" t="s">
        <v>31</v>
      </c>
      <c r="C1524">
        <v>15.88567188807896</v>
      </c>
      <c r="D1524">
        <v>88.959762573242188</v>
      </c>
      <c r="E1524">
        <v>106.5779113769531</v>
      </c>
      <c r="F1524">
        <f>(Table[[#This Row],[price_lag]] - Table[[#This Row],[price]]) / Table[[#This Row],[price]]</f>
        <v>0.19804626602061318</v>
      </c>
    </row>
    <row r="1525" spans="1:6" hidden="1" x14ac:dyDescent="0.2">
      <c r="A1525" t="s">
        <v>507</v>
      </c>
      <c r="B1525" t="s">
        <v>32</v>
      </c>
      <c r="C1525">
        <v>24.137263549001592</v>
      </c>
      <c r="D1525">
        <v>293.50912475585938</v>
      </c>
      <c r="E1525">
        <v>266.21701049804688</v>
      </c>
      <c r="F1525">
        <f>(Table[[#This Row],[price_lag]] - Table[[#This Row],[price]]) / Table[[#This Row],[price]]</f>
        <v>-9.2985573380432576E-2</v>
      </c>
    </row>
    <row r="1526" spans="1:6" hidden="1" x14ac:dyDescent="0.2">
      <c r="A1526" t="s">
        <v>507</v>
      </c>
      <c r="B1526" t="s">
        <v>33</v>
      </c>
      <c r="C1526">
        <v>11.98655892921977</v>
      </c>
      <c r="D1526">
        <v>71.03033447265625</v>
      </c>
      <c r="E1526">
        <v>85.530471801757812</v>
      </c>
      <c r="F1526">
        <f>(Table[[#This Row],[price_lag]] - Table[[#This Row],[price]]) / Table[[#This Row],[price]]</f>
        <v>0.20414006827862421</v>
      </c>
    </row>
    <row r="1527" spans="1:6" hidden="1" x14ac:dyDescent="0.2">
      <c r="A1527" t="s">
        <v>507</v>
      </c>
      <c r="B1527" t="s">
        <v>34</v>
      </c>
      <c r="C1527">
        <v>16.706457972073281</v>
      </c>
      <c r="D1527">
        <v>175.75193786621091</v>
      </c>
      <c r="E1527">
        <v>210.2221984863281</v>
      </c>
      <c r="F1527">
        <f>(Table[[#This Row],[price_lag]] - Table[[#This Row],[price]]) / Table[[#This Row],[price]]</f>
        <v>0.19613018802875032</v>
      </c>
    </row>
    <row r="1528" spans="1:6" hidden="1" x14ac:dyDescent="0.2">
      <c r="A1528" t="s">
        <v>507</v>
      </c>
      <c r="B1528" t="s">
        <v>35</v>
      </c>
      <c r="C1528">
        <v>22.497047608327779</v>
      </c>
      <c r="D1528">
        <v>121.2590866088867</v>
      </c>
      <c r="E1528">
        <v>144.87446594238281</v>
      </c>
      <c r="F1528">
        <f>(Table[[#This Row],[price_lag]] - Table[[#This Row],[price]]) / Table[[#This Row],[price]]</f>
        <v>0.1947514202351365</v>
      </c>
    </row>
    <row r="1529" spans="1:6" hidden="1" x14ac:dyDescent="0.2">
      <c r="A1529" t="s">
        <v>507</v>
      </c>
      <c r="B1529" t="s">
        <v>36</v>
      </c>
      <c r="C1529">
        <v>12.125689188639321</v>
      </c>
      <c r="D1529">
        <v>523.82977294921875</v>
      </c>
      <c r="E1529">
        <v>479.30410766601562</v>
      </c>
      <c r="F1529">
        <f>(Table[[#This Row],[price_lag]] - Table[[#This Row],[price]]) / Table[[#This Row],[price]]</f>
        <v>-8.5000256920332681E-2</v>
      </c>
    </row>
    <row r="1530" spans="1:6" hidden="1" x14ac:dyDescent="0.2">
      <c r="A1530" t="s">
        <v>507</v>
      </c>
      <c r="B1530" t="s">
        <v>37</v>
      </c>
      <c r="C1530">
        <v>26.71598706926618</v>
      </c>
      <c r="D1530">
        <v>179.53143310546881</v>
      </c>
      <c r="E1530">
        <v>171.2960510253906</v>
      </c>
      <c r="F1530">
        <f>(Table[[#This Row],[price_lag]] - Table[[#This Row],[price]]) / Table[[#This Row],[price]]</f>
        <v>-4.5871533121668973E-2</v>
      </c>
    </row>
    <row r="1531" spans="1:6" hidden="1" x14ac:dyDescent="0.2">
      <c r="A1531" t="s">
        <v>507</v>
      </c>
      <c r="B1531" t="s">
        <v>38</v>
      </c>
      <c r="C1531">
        <v>53.659354315863723</v>
      </c>
      <c r="D1531">
        <v>251.12577819824219</v>
      </c>
      <c r="E1531">
        <v>304.16629028320312</v>
      </c>
      <c r="F1531">
        <f>(Table[[#This Row],[price_lag]] - Table[[#This Row],[price]]) / Table[[#This Row],[price]]</f>
        <v>0.21121094164650042</v>
      </c>
    </row>
    <row r="1532" spans="1:6" hidden="1" x14ac:dyDescent="0.2">
      <c r="A1532" t="s">
        <v>507</v>
      </c>
      <c r="B1532" t="s">
        <v>39</v>
      </c>
      <c r="C1532">
        <v>27.810158268097911</v>
      </c>
      <c r="D1532">
        <v>68.969192504882812</v>
      </c>
      <c r="E1532">
        <v>65.257667541503906</v>
      </c>
      <c r="F1532">
        <f>(Table[[#This Row],[price_lag]] - Table[[#This Row],[price]]) / Table[[#This Row],[price]]</f>
        <v>-5.3814244136846191E-2</v>
      </c>
    </row>
    <row r="1533" spans="1:6" hidden="1" x14ac:dyDescent="0.2">
      <c r="A1533" t="s">
        <v>507</v>
      </c>
      <c r="B1533" t="s">
        <v>40</v>
      </c>
      <c r="C1533">
        <v>66.174514384209346</v>
      </c>
      <c r="D1533">
        <v>209.11146545410159</v>
      </c>
      <c r="E1533">
        <v>199.2613525390625</v>
      </c>
      <c r="F1533">
        <f>(Table[[#This Row],[price_lag]] - Table[[#This Row],[price]]) / Table[[#This Row],[price]]</f>
        <v>-4.7104604683673439E-2</v>
      </c>
    </row>
    <row r="1534" spans="1:6" hidden="1" x14ac:dyDescent="0.2">
      <c r="A1534" t="s">
        <v>507</v>
      </c>
      <c r="B1534" t="s">
        <v>41</v>
      </c>
      <c r="C1534">
        <v>26.874719717711478</v>
      </c>
      <c r="D1534">
        <v>355.8212890625</v>
      </c>
      <c r="E1534">
        <v>397.41787719726562</v>
      </c>
      <c r="F1534">
        <f>(Table[[#This Row],[price_lag]] - Table[[#This Row],[price]]) / Table[[#This Row],[price]]</f>
        <v>0.11690303366715976</v>
      </c>
    </row>
    <row r="1535" spans="1:6" hidden="1" x14ac:dyDescent="0.2">
      <c r="A1535" t="s">
        <v>507</v>
      </c>
      <c r="B1535" t="s">
        <v>42</v>
      </c>
      <c r="C1535">
        <v>5.4930632313092556</v>
      </c>
      <c r="D1535">
        <v>21.093362808227539</v>
      </c>
      <c r="E1535">
        <v>19.98703765869141</v>
      </c>
      <c r="F1535">
        <f>(Table[[#This Row],[price_lag]] - Table[[#This Row],[price]]) / Table[[#This Row],[price]]</f>
        <v>-5.2448969829723087E-2</v>
      </c>
    </row>
    <row r="1536" spans="1:6" hidden="1" x14ac:dyDescent="0.2">
      <c r="A1536" t="s">
        <v>507</v>
      </c>
      <c r="B1536" t="s">
        <v>43</v>
      </c>
      <c r="C1536">
        <v>16.962740243959029</v>
      </c>
      <c r="D1536">
        <v>164.19932556152341</v>
      </c>
      <c r="E1536">
        <v>135.42478942871091</v>
      </c>
      <c r="F1536">
        <f>(Table[[#This Row],[price_lag]] - Table[[#This Row],[price]]) / Table[[#This Row],[price]]</f>
        <v>-0.1752415001365584</v>
      </c>
    </row>
    <row r="1537" spans="1:6" hidden="1" x14ac:dyDescent="0.2">
      <c r="A1537" t="s">
        <v>507</v>
      </c>
      <c r="B1537" t="s">
        <v>44</v>
      </c>
      <c r="C1537">
        <v>26.044033572881549</v>
      </c>
      <c r="D1537">
        <v>251.0644836425781</v>
      </c>
      <c r="E1537">
        <v>221.3730163574219</v>
      </c>
      <c r="F1537">
        <f>(Table[[#This Row],[price_lag]] - Table[[#This Row],[price]]) / Table[[#This Row],[price]]</f>
        <v>-0.11826231593723044</v>
      </c>
    </row>
    <row r="1538" spans="1:6" hidden="1" x14ac:dyDescent="0.2">
      <c r="A1538" t="s">
        <v>507</v>
      </c>
      <c r="B1538" t="s">
        <v>45</v>
      </c>
      <c r="C1538">
        <v>27.742837879755729</v>
      </c>
      <c r="D1538">
        <v>162.01817321777341</v>
      </c>
      <c r="E1538">
        <v>144.0126647949219</v>
      </c>
      <c r="F1538">
        <f>(Table[[#This Row],[price_lag]] - Table[[#This Row],[price]]) / Table[[#This Row],[price]]</f>
        <v>-0.11113264682135238</v>
      </c>
    </row>
    <row r="1539" spans="1:6" hidden="1" x14ac:dyDescent="0.2">
      <c r="A1539" t="s">
        <v>507</v>
      </c>
      <c r="B1539" t="s">
        <v>46</v>
      </c>
      <c r="C1539">
        <v>13.18201767770868</v>
      </c>
      <c r="D1539">
        <v>60.110000610351562</v>
      </c>
      <c r="E1539">
        <v>59.5</v>
      </c>
      <c r="F1539">
        <f>(Table[[#This Row],[price_lag]] - Table[[#This Row],[price]]) / Table[[#This Row],[price]]</f>
        <v>-1.0148071937409265E-2</v>
      </c>
    </row>
    <row r="1540" spans="1:6" hidden="1" x14ac:dyDescent="0.2">
      <c r="A1540" t="s">
        <v>507</v>
      </c>
      <c r="B1540" t="s">
        <v>47</v>
      </c>
      <c r="C1540">
        <v>9.2631047771823027</v>
      </c>
      <c r="D1540">
        <v>91.889999389648438</v>
      </c>
      <c r="E1540">
        <v>96.180000305175781</v>
      </c>
      <c r="F1540">
        <f>(Table[[#This Row],[price_lag]] - Table[[#This Row],[price]]) / Table[[#This Row],[price]]</f>
        <v>4.6686265578652505E-2</v>
      </c>
    </row>
    <row r="1541" spans="1:6" hidden="1" x14ac:dyDescent="0.2">
      <c r="A1541" t="s">
        <v>507</v>
      </c>
      <c r="B1541" t="s">
        <v>48</v>
      </c>
      <c r="C1541">
        <v>10.1563767689501</v>
      </c>
      <c r="D1541">
        <v>48.189651489257812</v>
      </c>
      <c r="E1541">
        <v>46.723911285400391</v>
      </c>
      <c r="F1541">
        <f>(Table[[#This Row],[price_lag]] - Table[[#This Row],[price]]) / Table[[#This Row],[price]]</f>
        <v>-3.0416078111379516E-2</v>
      </c>
    </row>
    <row r="1542" spans="1:6" hidden="1" x14ac:dyDescent="0.2">
      <c r="A1542" t="s">
        <v>507</v>
      </c>
      <c r="B1542" t="s">
        <v>49</v>
      </c>
      <c r="C1542">
        <v>43.535155057907097</v>
      </c>
      <c r="D1542">
        <v>111.4499969482422</v>
      </c>
      <c r="E1542">
        <v>77.480003356933594</v>
      </c>
      <c r="F1542">
        <f>(Table[[#This Row],[price_lag]] - Table[[#This Row],[price]]) / Table[[#This Row],[price]]</f>
        <v>-0.30480030974863465</v>
      </c>
    </row>
    <row r="1543" spans="1:6" hidden="1" x14ac:dyDescent="0.2">
      <c r="A1543" t="s">
        <v>507</v>
      </c>
      <c r="B1543" t="s">
        <v>50</v>
      </c>
      <c r="C1543">
        <v>61.798139174505813</v>
      </c>
      <c r="D1543">
        <v>281.9910888671875</v>
      </c>
      <c r="E1543">
        <v>342.8994140625</v>
      </c>
      <c r="F1543">
        <f>(Table[[#This Row],[price_lag]] - Table[[#This Row],[price]]) / Table[[#This Row],[price]]</f>
        <v>0.21599379413013711</v>
      </c>
    </row>
    <row r="1544" spans="1:6" hidden="1" x14ac:dyDescent="0.2">
      <c r="A1544" t="s">
        <v>507</v>
      </c>
      <c r="B1544" t="s">
        <v>51</v>
      </c>
      <c r="C1544">
        <v>13.435623639653461</v>
      </c>
      <c r="D1544">
        <v>209.05830383300781</v>
      </c>
      <c r="E1544">
        <v>207.34730529785159</v>
      </c>
      <c r="F1544">
        <f>(Table[[#This Row],[price_lag]] - Table[[#This Row],[price]]) / Table[[#This Row],[price]]</f>
        <v>-8.1843127193978286E-3</v>
      </c>
    </row>
    <row r="1545" spans="1:6" hidden="1" x14ac:dyDescent="0.2">
      <c r="A1545" t="s">
        <v>507</v>
      </c>
      <c r="B1545" t="s">
        <v>52</v>
      </c>
      <c r="C1545">
        <v>9.5490217208862287</v>
      </c>
      <c r="D1545">
        <v>21.38980865478516</v>
      </c>
      <c r="E1545">
        <v>27.09339714050293</v>
      </c>
      <c r="F1545">
        <f>(Table[[#This Row],[price_lag]] - Table[[#This Row],[price]]) / Table[[#This Row],[price]]</f>
        <v>0.26664981336529198</v>
      </c>
    </row>
    <row r="1546" spans="1:6" hidden="1" x14ac:dyDescent="0.2">
      <c r="A1546" t="s">
        <v>507</v>
      </c>
      <c r="B1546" t="s">
        <v>53</v>
      </c>
      <c r="C1546">
        <v>15.09676106770833</v>
      </c>
      <c r="D1546">
        <v>135.870849609375</v>
      </c>
      <c r="E1546">
        <v>152.05674743652341</v>
      </c>
      <c r="F1546">
        <f>(Table[[#This Row],[price_lag]] - Table[[#This Row],[price]]) / Table[[#This Row],[price]]</f>
        <v>0.11912708188461635</v>
      </c>
    </row>
    <row r="1547" spans="1:6" hidden="1" x14ac:dyDescent="0.2">
      <c r="A1547" t="s">
        <v>507</v>
      </c>
      <c r="B1547" t="s">
        <v>54</v>
      </c>
      <c r="C1547">
        <v>52.38204203860861</v>
      </c>
      <c r="D1547">
        <v>297.52999877929688</v>
      </c>
      <c r="E1547">
        <v>261.79998779296881</v>
      </c>
      <c r="F1547">
        <f>(Table[[#This Row],[price_lag]] - Table[[#This Row],[price]]) / Table[[#This Row],[price]]</f>
        <v>-0.12008876796598932</v>
      </c>
    </row>
    <row r="1548" spans="1:6" hidden="1" x14ac:dyDescent="0.2">
      <c r="A1548" t="s">
        <v>507</v>
      </c>
      <c r="B1548" t="s">
        <v>55</v>
      </c>
      <c r="C1548">
        <v>30.361999899654069</v>
      </c>
      <c r="D1548">
        <v>286.61727905273438</v>
      </c>
      <c r="E1548">
        <v>300.49765014648438</v>
      </c>
      <c r="F1548">
        <f>(Table[[#This Row],[price_lag]] - Table[[#This Row],[price]]) / Table[[#This Row],[price]]</f>
        <v>4.8428242496839025E-2</v>
      </c>
    </row>
    <row r="1549" spans="1:6" hidden="1" x14ac:dyDescent="0.2">
      <c r="A1549" t="s">
        <v>507</v>
      </c>
      <c r="B1549" t="s">
        <v>56</v>
      </c>
      <c r="C1549">
        <v>23.84513443815494</v>
      </c>
      <c r="D1549">
        <v>3185.7099609375</v>
      </c>
      <c r="E1549">
        <v>3812.780029296875</v>
      </c>
      <c r="F1549">
        <f>(Table[[#This Row],[price_lag]] - Table[[#This Row],[price]]) / Table[[#This Row],[price]]</f>
        <v>0.19683840526864504</v>
      </c>
    </row>
    <row r="1550" spans="1:6" hidden="1" x14ac:dyDescent="0.2">
      <c r="A1550" t="s">
        <v>507</v>
      </c>
      <c r="B1550" t="s">
        <v>57</v>
      </c>
      <c r="C1550">
        <v>26.578510168826941</v>
      </c>
      <c r="D1550">
        <v>210.5018005371094</v>
      </c>
      <c r="E1550">
        <v>208.86390686035159</v>
      </c>
      <c r="F1550">
        <f>(Table[[#This Row],[price_lag]] - Table[[#This Row],[price]]) / Table[[#This Row],[price]]</f>
        <v>-7.7809010306734549E-3</v>
      </c>
    </row>
    <row r="1551" spans="1:6" hidden="1" x14ac:dyDescent="0.2">
      <c r="A1551" t="s">
        <v>507</v>
      </c>
      <c r="B1551" t="s">
        <v>58</v>
      </c>
      <c r="C1551">
        <v>21.0188325256089</v>
      </c>
      <c r="D1551">
        <v>183.32121276855469</v>
      </c>
      <c r="E1551">
        <v>175.09495544433591</v>
      </c>
      <c r="F1551">
        <f>(Table[[#This Row],[price_lag]] - Table[[#This Row],[price]]) / Table[[#This Row],[price]]</f>
        <v>-4.4873461177700864E-2</v>
      </c>
    </row>
    <row r="1552" spans="1:6" hidden="1" x14ac:dyDescent="0.2">
      <c r="A1552" t="s">
        <v>507</v>
      </c>
      <c r="B1552" t="s">
        <v>59</v>
      </c>
      <c r="C1552">
        <v>85.355933237884003</v>
      </c>
      <c r="D1552">
        <v>604.32000732421875</v>
      </c>
      <c r="E1552">
        <v>525.95001220703125</v>
      </c>
      <c r="F1552">
        <f>(Table[[#This Row],[price_lag]] - Table[[#This Row],[price]]) / Table[[#This Row],[price]]</f>
        <v>-0.12968293977919196</v>
      </c>
    </row>
    <row r="1553" spans="1:6" hidden="1" x14ac:dyDescent="0.2">
      <c r="A1553" t="s">
        <v>507</v>
      </c>
      <c r="B1553" t="s">
        <v>60</v>
      </c>
      <c r="C1553">
        <v>8.4208248042258891</v>
      </c>
      <c r="D1553">
        <v>40.083126068115227</v>
      </c>
      <c r="E1553">
        <v>43.239898681640618</v>
      </c>
      <c r="F1553">
        <f>(Table[[#This Row],[price_lag]] - Table[[#This Row],[price]]) / Table[[#This Row],[price]]</f>
        <v>7.8755649151738605E-2</v>
      </c>
    </row>
    <row r="1554" spans="1:6" hidden="1" x14ac:dyDescent="0.2">
      <c r="A1554" t="s">
        <v>507</v>
      </c>
      <c r="B1554" t="s">
        <v>61</v>
      </c>
      <c r="C1554">
        <v>0</v>
      </c>
      <c r="D1554">
        <v>54.149883270263672</v>
      </c>
      <c r="E1554">
        <v>51.469863891601562</v>
      </c>
      <c r="F1554">
        <f>(Table[[#This Row],[price_lag]] - Table[[#This Row],[price]]) / Table[[#This Row],[price]]</f>
        <v>-4.9492615991174965E-2</v>
      </c>
    </row>
    <row r="1555" spans="1:6" hidden="1" x14ac:dyDescent="0.2">
      <c r="A1555" t="s">
        <v>507</v>
      </c>
      <c r="B1555" t="s">
        <v>62</v>
      </c>
      <c r="C1555">
        <v>12.926515326442489</v>
      </c>
      <c r="D1555">
        <v>42.916030883789062</v>
      </c>
      <c r="E1555">
        <v>41.042758941650391</v>
      </c>
      <c r="F1555">
        <f>(Table[[#This Row],[price_lag]] - Table[[#This Row],[price]]) / Table[[#This Row],[price]]</f>
        <v>-4.3649701604774327E-2</v>
      </c>
    </row>
    <row r="1556" spans="1:6" hidden="1" x14ac:dyDescent="0.2">
      <c r="A1556" t="s">
        <v>507</v>
      </c>
      <c r="B1556" t="s">
        <v>63</v>
      </c>
      <c r="C1556">
        <v>0</v>
      </c>
      <c r="D1556">
        <v>28.121282577514648</v>
      </c>
      <c r="E1556">
        <v>33.785411834716797</v>
      </c>
      <c r="F1556">
        <f>(Table[[#This Row],[price_lag]] - Table[[#This Row],[price]]) / Table[[#This Row],[price]]</f>
        <v>0.2014178848916052</v>
      </c>
    </row>
    <row r="1557" spans="1:6" hidden="1" x14ac:dyDescent="0.2">
      <c r="A1557" t="s">
        <v>507</v>
      </c>
      <c r="B1557" t="s">
        <v>64</v>
      </c>
      <c r="C1557">
        <v>52.788899739583329</v>
      </c>
      <c r="D1557">
        <v>221.71337890625</v>
      </c>
      <c r="E1557">
        <v>225.22984313964841</v>
      </c>
      <c r="F1557">
        <f>(Table[[#This Row],[price_lag]] - Table[[#This Row],[price]]) / Table[[#This Row],[price]]</f>
        <v>1.5860406127702929E-2</v>
      </c>
    </row>
    <row r="1558" spans="1:6" hidden="1" x14ac:dyDescent="0.2">
      <c r="A1558" t="s">
        <v>507</v>
      </c>
      <c r="B1558" t="s">
        <v>65</v>
      </c>
      <c r="C1558">
        <v>10.95702215353778</v>
      </c>
      <c r="D1558">
        <v>452.16000366210938</v>
      </c>
      <c r="E1558">
        <v>532.58001708984375</v>
      </c>
      <c r="F1558">
        <f>(Table[[#This Row],[price_lag]] - Table[[#This Row],[price]]) / Table[[#This Row],[price]]</f>
        <v>0.17785742386854439</v>
      </c>
    </row>
    <row r="1559" spans="1:6" hidden="1" x14ac:dyDescent="0.2">
      <c r="A1559" t="s">
        <v>507</v>
      </c>
      <c r="B1559" t="s">
        <v>66</v>
      </c>
      <c r="C1559">
        <v>37.031752846457742</v>
      </c>
      <c r="D1559">
        <v>81.469856262207031</v>
      </c>
      <c r="E1559">
        <v>70.742485046386719</v>
      </c>
      <c r="F1559">
        <f>(Table[[#This Row],[price_lag]] - Table[[#This Row],[price]]) / Table[[#This Row],[price]]</f>
        <v>-0.13167288747011846</v>
      </c>
    </row>
    <row r="1560" spans="1:6" hidden="1" x14ac:dyDescent="0.2">
      <c r="A1560" t="s">
        <v>507</v>
      </c>
      <c r="B1560" t="s">
        <v>67</v>
      </c>
      <c r="C1560">
        <v>81.683297590775922</v>
      </c>
      <c r="D1560">
        <v>71.881301879882812</v>
      </c>
      <c r="E1560">
        <v>58.368461608886719</v>
      </c>
      <c r="F1560">
        <f>(Table[[#This Row],[price_lag]] - Table[[#This Row],[price]]) / Table[[#This Row],[price]]</f>
        <v>-0.1879882517094183</v>
      </c>
    </row>
    <row r="1561" spans="1:6" hidden="1" x14ac:dyDescent="0.2">
      <c r="A1561" t="s">
        <v>507</v>
      </c>
      <c r="B1561" t="s">
        <v>68</v>
      </c>
      <c r="C1561">
        <v>20.517759896366972</v>
      </c>
      <c r="D1561">
        <v>150.19000244140619</v>
      </c>
      <c r="E1561">
        <v>136.8399963378906</v>
      </c>
      <c r="F1561">
        <f>(Table[[#This Row],[price_lag]] - Table[[#This Row],[price]]) / Table[[#This Row],[price]]</f>
        <v>-8.8887448475299488E-2</v>
      </c>
    </row>
    <row r="1562" spans="1:6" hidden="1" x14ac:dyDescent="0.2">
      <c r="A1562" t="s">
        <v>507</v>
      </c>
      <c r="B1562" t="s">
        <v>69</v>
      </c>
      <c r="C1562">
        <v>23.348606937670311</v>
      </c>
      <c r="D1562">
        <v>1006.791931152344</v>
      </c>
      <c r="E1562">
        <v>932.53076171875</v>
      </c>
      <c r="F1562">
        <f>(Table[[#This Row],[price_lag]] - Table[[#This Row],[price]]) / Table[[#This Row],[price]]</f>
        <v>-7.3760195265566805E-2</v>
      </c>
    </row>
    <row r="1563" spans="1:6" hidden="1" x14ac:dyDescent="0.2">
      <c r="A1563" t="s">
        <v>507</v>
      </c>
      <c r="B1563" t="s">
        <v>70</v>
      </c>
      <c r="C1563">
        <v>45.352069191310711</v>
      </c>
      <c r="D1563">
        <v>166.89561462402341</v>
      </c>
      <c r="E1563">
        <v>136.74888610839841</v>
      </c>
      <c r="F1563">
        <f>(Table[[#This Row],[price_lag]] - Table[[#This Row],[price]]) / Table[[#This Row],[price]]</f>
        <v>-0.18063223880111226</v>
      </c>
    </row>
    <row r="1564" spans="1:6" hidden="1" x14ac:dyDescent="0.2">
      <c r="A1564" t="s">
        <v>507</v>
      </c>
      <c r="B1564" t="s">
        <v>71</v>
      </c>
      <c r="C1564">
        <v>18.612766671688</v>
      </c>
      <c r="D1564">
        <v>87.480003356933594</v>
      </c>
      <c r="E1564">
        <v>54.330001831054688</v>
      </c>
      <c r="F1564">
        <f>(Table[[#This Row],[price_lag]] - Table[[#This Row],[price]]) / Table[[#This Row],[price]]</f>
        <v>-0.37894376147450687</v>
      </c>
    </row>
    <row r="1565" spans="1:6" hidden="1" x14ac:dyDescent="0.2">
      <c r="A1565" t="s">
        <v>507</v>
      </c>
      <c r="B1565" t="s">
        <v>72</v>
      </c>
      <c r="C1565">
        <v>12.03631132076948</v>
      </c>
      <c r="D1565">
        <v>75.106582641601562</v>
      </c>
      <c r="E1565">
        <v>82.140975952148438</v>
      </c>
      <c r="F1565">
        <f>(Table[[#This Row],[price_lag]] - Table[[#This Row],[price]]) / Table[[#This Row],[price]]</f>
        <v>9.3658812092597091E-2</v>
      </c>
    </row>
    <row r="1566" spans="1:6" hidden="1" x14ac:dyDescent="0.2">
      <c r="A1566" t="s">
        <v>507</v>
      </c>
      <c r="B1566" t="s">
        <v>73</v>
      </c>
      <c r="C1566">
        <v>0</v>
      </c>
      <c r="D1566">
        <v>176.55000305175781</v>
      </c>
      <c r="E1566">
        <v>170.55000305175781</v>
      </c>
      <c r="F1566">
        <f>(Table[[#This Row],[price_lag]] - Table[[#This Row],[price]]) / Table[[#This Row],[price]]</f>
        <v>-3.3984706294459967E-2</v>
      </c>
    </row>
    <row r="1567" spans="1:6" hidden="1" x14ac:dyDescent="0.2">
      <c r="A1567" t="s">
        <v>507</v>
      </c>
      <c r="B1567" t="s">
        <v>74</v>
      </c>
      <c r="C1567">
        <v>38.332250530747046</v>
      </c>
      <c r="D1567">
        <v>4954.06005859375</v>
      </c>
      <c r="E1567">
        <v>4582.2998046875</v>
      </c>
      <c r="F1567">
        <f>(Table[[#This Row],[price_lag]] - Table[[#This Row],[price]]) / Table[[#This Row],[price]]</f>
        <v>-7.5041531493216726E-2</v>
      </c>
    </row>
    <row r="1568" spans="1:6" hidden="1" x14ac:dyDescent="0.2">
      <c r="A1568" t="s">
        <v>507</v>
      </c>
      <c r="B1568" t="s">
        <v>75</v>
      </c>
      <c r="C1568">
        <v>59.000000200773542</v>
      </c>
      <c r="D1568">
        <v>89.680000305175781</v>
      </c>
      <c r="E1568">
        <v>100.879997253418</v>
      </c>
      <c r="F1568">
        <f>(Table[[#This Row],[price_lag]] - Table[[#This Row],[price]]) / Table[[#This Row],[price]]</f>
        <v>0.124888457963083</v>
      </c>
    </row>
    <row r="1569" spans="1:6" hidden="1" x14ac:dyDescent="0.2">
      <c r="A1569" t="s">
        <v>507</v>
      </c>
      <c r="B1569" t="s">
        <v>76</v>
      </c>
      <c r="C1569">
        <v>329.88507747650152</v>
      </c>
      <c r="D1569">
        <v>52.781612396240227</v>
      </c>
      <c r="E1569">
        <v>58.057132720947273</v>
      </c>
      <c r="F1569">
        <f>(Table[[#This Row],[price_lag]] - Table[[#This Row],[price]]) / Table[[#This Row],[price]]</f>
        <v>9.9949965247420794E-2</v>
      </c>
    </row>
    <row r="1570" spans="1:6" hidden="1" x14ac:dyDescent="0.2">
      <c r="A1570" t="s">
        <v>507</v>
      </c>
      <c r="B1570" t="s">
        <v>77</v>
      </c>
      <c r="C1570">
        <v>49.886814345661392</v>
      </c>
      <c r="D1570">
        <v>233.47029113769531</v>
      </c>
      <c r="E1570">
        <v>166.43267822265619</v>
      </c>
      <c r="F1570">
        <f>(Table[[#This Row],[price_lag]] - Table[[#This Row],[price]]) / Table[[#This Row],[price]]</f>
        <v>-0.28713551770705553</v>
      </c>
    </row>
    <row r="1571" spans="1:6" hidden="1" x14ac:dyDescent="0.2">
      <c r="A1571" t="s">
        <v>507</v>
      </c>
      <c r="B1571" t="s">
        <v>78</v>
      </c>
      <c r="C1571">
        <v>45.489258062644083</v>
      </c>
      <c r="D1571">
        <v>221.9875793457031</v>
      </c>
      <c r="E1571">
        <v>239.6201477050781</v>
      </c>
      <c r="F1571">
        <f>(Table[[#This Row],[price_lag]] - Table[[#This Row],[price]]) / Table[[#This Row],[price]]</f>
        <v>7.9430427645303767E-2</v>
      </c>
    </row>
    <row r="1572" spans="1:6" hidden="1" x14ac:dyDescent="0.2">
      <c r="A1572" t="s">
        <v>507</v>
      </c>
      <c r="B1572" t="s">
        <v>79</v>
      </c>
      <c r="C1572">
        <v>34.703832129909571</v>
      </c>
      <c r="D1572">
        <v>101.33518981933589</v>
      </c>
      <c r="E1572">
        <v>123.7766418457031</v>
      </c>
      <c r="F1572">
        <f>(Table[[#This Row],[price_lag]] - Table[[#This Row],[price]]) / Table[[#This Row],[price]]</f>
        <v>0.22145764039497678</v>
      </c>
    </row>
    <row r="1573" spans="1:6" hidden="1" x14ac:dyDescent="0.2">
      <c r="A1573" t="s">
        <v>507</v>
      </c>
      <c r="B1573" t="s">
        <v>80</v>
      </c>
      <c r="C1573">
        <v>16.0532884430467</v>
      </c>
      <c r="D1573">
        <v>36.601497650146477</v>
      </c>
      <c r="E1573">
        <v>33.14385986328125</v>
      </c>
      <c r="F1573">
        <f>(Table[[#This Row],[price_lag]] - Table[[#This Row],[price]]) / Table[[#This Row],[price]]</f>
        <v>-9.4467112245375295E-2</v>
      </c>
    </row>
    <row r="1574" spans="1:6" hidden="1" x14ac:dyDescent="0.2">
      <c r="A1574" t="s">
        <v>507</v>
      </c>
      <c r="B1574" t="s">
        <v>81</v>
      </c>
      <c r="C1574">
        <v>21.591866734516191</v>
      </c>
      <c r="D1574">
        <v>143.3699951171875</v>
      </c>
      <c r="E1574">
        <v>124.94000244140619</v>
      </c>
      <c r="F1574">
        <f>(Table[[#This Row],[price_lag]] - Table[[#This Row],[price]]) / Table[[#This Row],[price]]</f>
        <v>-0.1285484641379602</v>
      </c>
    </row>
    <row r="1575" spans="1:6" hidden="1" x14ac:dyDescent="0.2">
      <c r="A1575" t="s">
        <v>507</v>
      </c>
      <c r="B1575" t="s">
        <v>82</v>
      </c>
      <c r="C1575">
        <v>4.1331467801579747</v>
      </c>
      <c r="D1575">
        <v>74.293098449707031</v>
      </c>
      <c r="E1575">
        <v>74.558120727539062</v>
      </c>
      <c r="F1575">
        <f>(Table[[#This Row],[price_lag]] - Table[[#This Row],[price]]) / Table[[#This Row],[price]]</f>
        <v>3.5672529933778304E-3</v>
      </c>
    </row>
    <row r="1576" spans="1:6" hidden="1" x14ac:dyDescent="0.2">
      <c r="A1576" t="s">
        <v>507</v>
      </c>
      <c r="B1576" t="s">
        <v>83</v>
      </c>
      <c r="C1576">
        <v>0</v>
      </c>
      <c r="D1576">
        <v>69.727622985839844</v>
      </c>
      <c r="E1576">
        <v>64.95196533203125</v>
      </c>
      <c r="F1576">
        <f>(Table[[#This Row],[price_lag]] - Table[[#This Row],[price]]) / Table[[#This Row],[price]]</f>
        <v>-6.8490182933360941E-2</v>
      </c>
    </row>
    <row r="1577" spans="1:6" hidden="1" x14ac:dyDescent="0.2">
      <c r="A1577" t="s">
        <v>507</v>
      </c>
      <c r="B1577" t="s">
        <v>84</v>
      </c>
      <c r="C1577">
        <v>20.4149107779226</v>
      </c>
      <c r="D1577">
        <v>101.25795745849609</v>
      </c>
      <c r="E1577">
        <v>100.8383255004883</v>
      </c>
      <c r="F1577">
        <f>(Table[[#This Row],[price_lag]] - Table[[#This Row],[price]]) / Table[[#This Row],[price]]</f>
        <v>-4.1441874647708378E-3</v>
      </c>
    </row>
    <row r="1578" spans="1:6" hidden="1" x14ac:dyDescent="0.2">
      <c r="A1578" t="s">
        <v>507</v>
      </c>
      <c r="B1578" t="s">
        <v>85</v>
      </c>
      <c r="C1578">
        <v>60.371997070312503</v>
      </c>
      <c r="D1578">
        <v>301.8599853515625</v>
      </c>
      <c r="E1578">
        <v>254.33000183105469</v>
      </c>
      <c r="F1578">
        <f>(Table[[#This Row],[price_lag]] - Table[[#This Row],[price]]) / Table[[#This Row],[price]]</f>
        <v>-0.15745705236536012</v>
      </c>
    </row>
    <row r="1579" spans="1:6" hidden="1" x14ac:dyDescent="0.2">
      <c r="A1579" t="s">
        <v>507</v>
      </c>
      <c r="B1579" t="s">
        <v>86</v>
      </c>
      <c r="C1579">
        <v>164.09999847412109</v>
      </c>
      <c r="D1579">
        <v>32.819999694824219</v>
      </c>
      <c r="E1579">
        <v>25</v>
      </c>
      <c r="F1579">
        <f>(Table[[#This Row],[price_lag]] - Table[[#This Row],[price]]) / Table[[#This Row],[price]]</f>
        <v>-0.23826934087563226</v>
      </c>
    </row>
    <row r="1580" spans="1:6" hidden="1" x14ac:dyDescent="0.2">
      <c r="A1580" t="s">
        <v>507</v>
      </c>
      <c r="B1580" t="s">
        <v>87</v>
      </c>
      <c r="C1580">
        <v>74.669982291556693</v>
      </c>
      <c r="D1580">
        <v>110.51157379150391</v>
      </c>
      <c r="E1580">
        <v>118.7819900512695</v>
      </c>
      <c r="F1580">
        <f>(Table[[#This Row],[price_lag]] - Table[[#This Row],[price]]) / Table[[#This Row],[price]]</f>
        <v>7.4837557515640266E-2</v>
      </c>
    </row>
    <row r="1581" spans="1:6" hidden="1" x14ac:dyDescent="0.2">
      <c r="A1581" t="s">
        <v>507</v>
      </c>
      <c r="B1581" t="s">
        <v>88</v>
      </c>
      <c r="C1581">
        <v>16.833579951319201</v>
      </c>
      <c r="D1581">
        <v>39.053905487060547</v>
      </c>
      <c r="E1581">
        <v>37.993400573730469</v>
      </c>
      <c r="F1581">
        <f>(Table[[#This Row],[price_lag]] - Table[[#This Row],[price]]) / Table[[#This Row],[price]]</f>
        <v>-2.7154900389704882E-2</v>
      </c>
    </row>
    <row r="1582" spans="1:6" hidden="1" x14ac:dyDescent="0.2">
      <c r="A1582" t="s">
        <v>507</v>
      </c>
      <c r="B1582" t="s">
        <v>89</v>
      </c>
      <c r="C1582">
        <v>16.450309039055181</v>
      </c>
      <c r="D1582">
        <v>175.6893005371094</v>
      </c>
      <c r="E1582">
        <v>177.569091796875</v>
      </c>
      <c r="F1582">
        <f>(Table[[#This Row],[price_lag]] - Table[[#This Row],[price]]) / Table[[#This Row],[price]]</f>
        <v>1.069952042622279E-2</v>
      </c>
    </row>
    <row r="1583" spans="1:6" hidden="1" x14ac:dyDescent="0.2">
      <c r="A1583" t="s">
        <v>507</v>
      </c>
      <c r="B1583" t="s">
        <v>90</v>
      </c>
      <c r="C1583">
        <v>17.569644812381629</v>
      </c>
      <c r="D1583">
        <v>115.95965576171881</v>
      </c>
      <c r="E1583">
        <v>136.06178283691409</v>
      </c>
      <c r="F1583">
        <f>(Table[[#This Row],[price_lag]] - Table[[#This Row],[price]]) / Table[[#This Row],[price]]</f>
        <v>0.17335449077653697</v>
      </c>
    </row>
    <row r="1584" spans="1:6" hidden="1" x14ac:dyDescent="0.2">
      <c r="A1584" t="s">
        <v>507</v>
      </c>
      <c r="B1584" t="s">
        <v>91</v>
      </c>
      <c r="C1584">
        <v>25.327159740306708</v>
      </c>
      <c r="D1584">
        <v>82.05999755859375</v>
      </c>
      <c r="E1584">
        <v>77.919998168945312</v>
      </c>
      <c r="F1584">
        <f>(Table[[#This Row],[price_lag]] - Table[[#This Row],[price]]) / Table[[#This Row],[price]]</f>
        <v>-5.0450883656099683E-2</v>
      </c>
    </row>
    <row r="1585" spans="1:6" hidden="1" x14ac:dyDescent="0.2">
      <c r="A1585" t="s">
        <v>507</v>
      </c>
      <c r="B1585" t="s">
        <v>92</v>
      </c>
      <c r="C1585">
        <v>27.2282600402832</v>
      </c>
      <c r="D1585">
        <v>25.04999923706055</v>
      </c>
      <c r="E1585">
        <v>19.530000686645511</v>
      </c>
      <c r="F1585">
        <f>(Table[[#This Row],[price_lag]] - Table[[#This Row],[price]]) / Table[[#This Row],[price]]</f>
        <v>-0.22035923028086982</v>
      </c>
    </row>
    <row r="1586" spans="1:6" hidden="1" x14ac:dyDescent="0.2">
      <c r="A1586" t="s">
        <v>507</v>
      </c>
      <c r="B1586" t="s">
        <v>93</v>
      </c>
      <c r="C1586">
        <v>5.8590686279722206</v>
      </c>
      <c r="D1586">
        <v>67.262107849121094</v>
      </c>
      <c r="E1586">
        <v>62.500621795654297</v>
      </c>
      <c r="F1586">
        <f>(Table[[#This Row],[price_lag]] - Table[[#This Row],[price]]) / Table[[#This Row],[price]]</f>
        <v>-7.0790021391353333E-2</v>
      </c>
    </row>
    <row r="1587" spans="1:6" hidden="1" x14ac:dyDescent="0.2">
      <c r="A1587" t="s">
        <v>507</v>
      </c>
      <c r="B1587" t="s">
        <v>94</v>
      </c>
      <c r="C1587">
        <v>15.35176262387721</v>
      </c>
      <c r="D1587">
        <v>356.77496337890619</v>
      </c>
      <c r="E1587">
        <v>325.32363891601562</v>
      </c>
      <c r="F1587">
        <f>(Table[[#This Row],[price_lag]] - Table[[#This Row],[price]]) / Table[[#This Row],[price]]</f>
        <v>-8.8154516687563286E-2</v>
      </c>
    </row>
    <row r="1588" spans="1:6" hidden="1" x14ac:dyDescent="0.2">
      <c r="A1588" t="s">
        <v>507</v>
      </c>
      <c r="B1588" t="s">
        <v>95</v>
      </c>
      <c r="C1588">
        <v>26.042112054671829</v>
      </c>
      <c r="D1588">
        <v>194.79499816894531</v>
      </c>
      <c r="E1588">
        <v>225.6626281738281</v>
      </c>
      <c r="F1588">
        <f>(Table[[#This Row],[price_lag]] - Table[[#This Row],[price]]) / Table[[#This Row],[price]]</f>
        <v>0.1584621283659006</v>
      </c>
    </row>
    <row r="1589" spans="1:6" hidden="1" x14ac:dyDescent="0.2">
      <c r="A1589" t="s">
        <v>507</v>
      </c>
      <c r="B1589" t="s">
        <v>96</v>
      </c>
      <c r="C1589">
        <v>20.354688167572021</v>
      </c>
      <c r="D1589">
        <v>130.27000427246091</v>
      </c>
      <c r="E1589">
        <v>130.7799987792969</v>
      </c>
      <c r="F1589">
        <f>(Table[[#This Row],[price_lag]] - Table[[#This Row],[price]]) / Table[[#This Row],[price]]</f>
        <v>3.9149035857044736E-3</v>
      </c>
    </row>
    <row r="1590" spans="1:6" hidden="1" x14ac:dyDescent="0.2">
      <c r="A1590" t="s">
        <v>507</v>
      </c>
      <c r="B1590" t="s">
        <v>97</v>
      </c>
      <c r="C1590">
        <v>21.56249730273931</v>
      </c>
      <c r="D1590">
        <v>170.77497863769531</v>
      </c>
      <c r="E1590">
        <v>158.40972900390619</v>
      </c>
      <c r="F1590">
        <f>(Table[[#This Row],[price_lag]] - Table[[#This Row],[price]]) / Table[[#This Row],[price]]</f>
        <v>-7.2406682363125335E-2</v>
      </c>
    </row>
    <row r="1591" spans="1:6" hidden="1" x14ac:dyDescent="0.2">
      <c r="A1591" t="s">
        <v>507</v>
      </c>
      <c r="B1591" t="s">
        <v>98</v>
      </c>
      <c r="C1591">
        <v>22.121951693580261</v>
      </c>
      <c r="D1591">
        <v>222.98927307128909</v>
      </c>
      <c r="E1591">
        <v>276.58261108398438</v>
      </c>
      <c r="F1591">
        <f>(Table[[#This Row],[price_lag]] - Table[[#This Row],[price]]) / Table[[#This Row],[price]]</f>
        <v>0.24034043106442002</v>
      </c>
    </row>
    <row r="1592" spans="1:6" hidden="1" x14ac:dyDescent="0.2">
      <c r="A1592" t="s">
        <v>507</v>
      </c>
      <c r="B1592" t="s">
        <v>99</v>
      </c>
      <c r="C1592">
        <v>26.473684478224371</v>
      </c>
      <c r="D1592">
        <v>60.360000610351562</v>
      </c>
      <c r="E1592">
        <v>60.709999084472663</v>
      </c>
      <c r="F1592">
        <f>(Table[[#This Row],[price_lag]] - Table[[#This Row],[price]]) / Table[[#This Row],[price]]</f>
        <v>5.7985167425773209E-3</v>
      </c>
    </row>
    <row r="1593" spans="1:6" hidden="1" x14ac:dyDescent="0.2">
      <c r="A1593" t="s">
        <v>507</v>
      </c>
      <c r="B1593" t="s">
        <v>100</v>
      </c>
      <c r="C1593">
        <v>19.671593436711952</v>
      </c>
      <c r="D1593">
        <v>31.081117630004879</v>
      </c>
      <c r="E1593">
        <v>35.607391357421882</v>
      </c>
      <c r="F1593">
        <f>(Table[[#This Row],[price_lag]] - Table[[#This Row],[price]]) / Table[[#This Row],[price]]</f>
        <v>0.14562776607001607</v>
      </c>
    </row>
    <row r="1594" spans="1:6" hidden="1" x14ac:dyDescent="0.2">
      <c r="A1594" t="s">
        <v>507</v>
      </c>
      <c r="B1594" t="s">
        <v>101</v>
      </c>
      <c r="C1594">
        <v>10.85347271470166</v>
      </c>
      <c r="D1594">
        <v>82.052253723144531</v>
      </c>
      <c r="E1594">
        <v>76.781936645507812</v>
      </c>
      <c r="F1594">
        <f>(Table[[#This Row],[price_lag]] - Table[[#This Row],[price]]) / Table[[#This Row],[price]]</f>
        <v>-6.4231228741376017E-2</v>
      </c>
    </row>
    <row r="1595" spans="1:6" hidden="1" x14ac:dyDescent="0.2">
      <c r="A1595" t="s">
        <v>507</v>
      </c>
      <c r="B1595" t="s">
        <v>102</v>
      </c>
      <c r="C1595">
        <v>0</v>
      </c>
      <c r="D1595">
        <v>183.41999816894531</v>
      </c>
      <c r="E1595">
        <v>150.52000427246091</v>
      </c>
      <c r="F1595">
        <f>(Table[[#This Row],[price_lag]] - Table[[#This Row],[price]]) / Table[[#This Row],[price]]</f>
        <v>-0.17936972099509416</v>
      </c>
    </row>
    <row r="1596" spans="1:6" hidden="1" x14ac:dyDescent="0.2">
      <c r="A1596" t="s">
        <v>507</v>
      </c>
      <c r="B1596" t="s">
        <v>103</v>
      </c>
      <c r="C1596">
        <v>19.42433702184799</v>
      </c>
      <c r="D1596">
        <v>73.035507202148438</v>
      </c>
      <c r="E1596">
        <v>77.589698791503906</v>
      </c>
      <c r="F1596">
        <f>(Table[[#This Row],[price_lag]] - Table[[#This Row],[price]]) / Table[[#This Row],[price]]</f>
        <v>6.2355856265231782E-2</v>
      </c>
    </row>
    <row r="1597" spans="1:6" hidden="1" x14ac:dyDescent="0.2">
      <c r="A1597" t="s">
        <v>507</v>
      </c>
      <c r="B1597" t="s">
        <v>104</v>
      </c>
      <c r="C1597">
        <v>8.3134688148202827</v>
      </c>
      <c r="D1597">
        <v>343.17999267578119</v>
      </c>
      <c r="E1597">
        <v>368.52999877929688</v>
      </c>
      <c r="F1597">
        <f>(Table[[#This Row],[price_lag]] - Table[[#This Row],[price]]) / Table[[#This Row],[price]]</f>
        <v>7.3867960383882478E-2</v>
      </c>
    </row>
    <row r="1598" spans="1:6" hidden="1" x14ac:dyDescent="0.2">
      <c r="A1598" t="s">
        <v>507</v>
      </c>
      <c r="B1598" t="s">
        <v>105</v>
      </c>
      <c r="C1598">
        <v>18.47723677351668</v>
      </c>
      <c r="D1598">
        <v>136.73155212402341</v>
      </c>
      <c r="E1598">
        <v>161.65185546875</v>
      </c>
      <c r="F1598">
        <f>(Table[[#This Row],[price_lag]] - Table[[#This Row],[price]]) / Table[[#This Row],[price]]</f>
        <v>0.18225715248315499</v>
      </c>
    </row>
    <row r="1599" spans="1:6" hidden="1" x14ac:dyDescent="0.2">
      <c r="A1599" t="s">
        <v>507</v>
      </c>
      <c r="B1599" t="s">
        <v>106</v>
      </c>
      <c r="C1599">
        <v>62.593750158945717</v>
      </c>
      <c r="D1599">
        <v>60.090000152587891</v>
      </c>
      <c r="E1599">
        <v>50.209999084472663</v>
      </c>
      <c r="F1599">
        <f>(Table[[#This Row],[price_lag]] - Table[[#This Row],[price]]) / Table[[#This Row],[price]]</f>
        <v>-0.16442005396949105</v>
      </c>
    </row>
    <row r="1600" spans="1:6" hidden="1" x14ac:dyDescent="0.2">
      <c r="A1600" t="s">
        <v>507</v>
      </c>
      <c r="B1600" t="s">
        <v>107</v>
      </c>
      <c r="C1600">
        <v>10.809354569847869</v>
      </c>
      <c r="D1600">
        <v>273.62091064453119</v>
      </c>
      <c r="E1600">
        <v>300.97738647460938</v>
      </c>
      <c r="F1600">
        <f>(Table[[#This Row],[price_lag]] - Table[[#This Row],[price]]) / Table[[#This Row],[price]]</f>
        <v>9.9979478050995038E-2</v>
      </c>
    </row>
    <row r="1601" spans="1:6" hidden="1" x14ac:dyDescent="0.2">
      <c r="A1601" t="s">
        <v>507</v>
      </c>
      <c r="B1601" t="s">
        <v>108</v>
      </c>
      <c r="C1601">
        <v>33.542603331726873</v>
      </c>
      <c r="D1601">
        <v>103.31121826171881</v>
      </c>
      <c r="E1601">
        <v>109.011848449707</v>
      </c>
      <c r="F1601">
        <f>(Table[[#This Row],[price_lag]] - Table[[#This Row],[price]]) / Table[[#This Row],[price]]</f>
        <v>5.5179198192656695E-2</v>
      </c>
    </row>
    <row r="1602" spans="1:6" hidden="1" x14ac:dyDescent="0.2">
      <c r="A1602" t="s">
        <v>507</v>
      </c>
      <c r="B1602" t="s">
        <v>109</v>
      </c>
      <c r="C1602">
        <v>13.138334932383041</v>
      </c>
      <c r="D1602">
        <v>269.5986328125</v>
      </c>
      <c r="E1602">
        <v>323.95767211914062</v>
      </c>
      <c r="F1602">
        <f>(Table[[#This Row],[price_lag]] - Table[[#This Row],[price]]) / Table[[#This Row],[price]]</f>
        <v>0.20162950657263221</v>
      </c>
    </row>
    <row r="1603" spans="1:6" hidden="1" x14ac:dyDescent="0.2">
      <c r="A1603" t="s">
        <v>507</v>
      </c>
      <c r="B1603" t="s">
        <v>110</v>
      </c>
      <c r="C1603">
        <v>13.505215442318709</v>
      </c>
      <c r="D1603">
        <v>139.9140319824219</v>
      </c>
      <c r="E1603">
        <v>145.2586669921875</v>
      </c>
      <c r="F1603">
        <f>(Table[[#This Row],[price_lag]] - Table[[#This Row],[price]]) / Table[[#This Row],[price]]</f>
        <v>3.8199420987575214E-2</v>
      </c>
    </row>
    <row r="1604" spans="1:6" hidden="1" x14ac:dyDescent="0.2">
      <c r="A1604" t="s">
        <v>507</v>
      </c>
      <c r="B1604" t="s">
        <v>111</v>
      </c>
      <c r="C1604">
        <v>41.033571260469451</v>
      </c>
      <c r="D1604">
        <v>182.1890563964844</v>
      </c>
      <c r="E1604">
        <v>204.2484130859375</v>
      </c>
      <c r="F1604">
        <f>(Table[[#This Row],[price_lag]] - Table[[#This Row],[price]]) / Table[[#This Row],[price]]</f>
        <v>0.12107948263065246</v>
      </c>
    </row>
    <row r="1605" spans="1:6" hidden="1" x14ac:dyDescent="0.2">
      <c r="A1605" t="s">
        <v>507</v>
      </c>
      <c r="B1605" t="s">
        <v>112</v>
      </c>
      <c r="C1605">
        <v>23.522483325395431</v>
      </c>
      <c r="D1605">
        <v>57.394859313964837</v>
      </c>
      <c r="E1605">
        <v>60.246185302734382</v>
      </c>
      <c r="F1605">
        <f>(Table[[#This Row],[price_lag]] - Table[[#This Row],[price]]) / Table[[#This Row],[price]]</f>
        <v>4.9679118005535115E-2</v>
      </c>
    </row>
    <row r="1606" spans="1:6" hidden="1" x14ac:dyDescent="0.2">
      <c r="A1606" t="s">
        <v>507</v>
      </c>
      <c r="B1606" t="s">
        <v>113</v>
      </c>
      <c r="C1606">
        <v>12.610362154263489</v>
      </c>
      <c r="D1606">
        <v>68.489852905273438</v>
      </c>
      <c r="E1606">
        <v>69.551971435546875</v>
      </c>
      <c r="F1606">
        <f>(Table[[#This Row],[price_lag]] - Table[[#This Row],[price]]) / Table[[#This Row],[price]]</f>
        <v>1.5507677199167394E-2</v>
      </c>
    </row>
    <row r="1607" spans="1:6" hidden="1" x14ac:dyDescent="0.2">
      <c r="A1607" t="s">
        <v>507</v>
      </c>
      <c r="B1607" t="s">
        <v>114</v>
      </c>
      <c r="C1607">
        <v>12.635852629879871</v>
      </c>
      <c r="D1607">
        <v>41.951030731201172</v>
      </c>
      <c r="E1607">
        <v>39.802375793457031</v>
      </c>
      <c r="F1607">
        <f>(Table[[#This Row],[price_lag]] - Table[[#This Row],[price]]) / Table[[#This Row],[price]]</f>
        <v>-5.1218167951856158E-2</v>
      </c>
    </row>
    <row r="1608" spans="1:6" hidden="1" x14ac:dyDescent="0.2">
      <c r="A1608" t="s">
        <v>507</v>
      </c>
      <c r="B1608" t="s">
        <v>115</v>
      </c>
      <c r="C1608">
        <v>25.093556065713209</v>
      </c>
      <c r="D1608">
        <v>155.5800476074219</v>
      </c>
      <c r="E1608">
        <v>143.0166320800781</v>
      </c>
      <c r="F1608">
        <f>(Table[[#This Row],[price_lag]] - Table[[#This Row],[price]]) / Table[[#This Row],[price]]</f>
        <v>-8.0752099774678773E-2</v>
      </c>
    </row>
    <row r="1609" spans="1:6" hidden="1" x14ac:dyDescent="0.2">
      <c r="A1609" t="s">
        <v>507</v>
      </c>
      <c r="B1609" t="s">
        <v>116</v>
      </c>
      <c r="C1609">
        <v>23.666823705037441</v>
      </c>
      <c r="D1609">
        <v>227.2015075683594</v>
      </c>
      <c r="E1609">
        <v>261.61767578125</v>
      </c>
      <c r="F1609">
        <f>(Table[[#This Row],[price_lag]] - Table[[#This Row],[price]]) / Table[[#This Row],[price]]</f>
        <v>0.15147860848826283</v>
      </c>
    </row>
    <row r="1610" spans="1:6" hidden="1" x14ac:dyDescent="0.2">
      <c r="A1610" t="s">
        <v>507</v>
      </c>
      <c r="B1610" t="s">
        <v>117</v>
      </c>
      <c r="C1610">
        <v>18.431832744601628</v>
      </c>
      <c r="D1610">
        <v>64.650390625</v>
      </c>
      <c r="E1610">
        <v>73.449676513671875</v>
      </c>
      <c r="F1610">
        <f>(Table[[#This Row],[price_lag]] - Table[[#This Row],[price]]) / Table[[#This Row],[price]]</f>
        <v>0.13610568789462554</v>
      </c>
    </row>
    <row r="1611" spans="1:6" hidden="1" x14ac:dyDescent="0.2">
      <c r="A1611" t="s">
        <v>507</v>
      </c>
      <c r="B1611" t="s">
        <v>118</v>
      </c>
      <c r="C1611">
        <v>29.53546935436772</v>
      </c>
      <c r="D1611">
        <v>60.252357482910163</v>
      </c>
      <c r="E1611">
        <v>70.080909729003906</v>
      </c>
      <c r="F1611">
        <f>(Table[[#This Row],[price_lag]] - Table[[#This Row],[price]]) / Table[[#This Row],[price]]</f>
        <v>0.16312311512261557</v>
      </c>
    </row>
    <row r="1612" spans="1:6" hidden="1" x14ac:dyDescent="0.2">
      <c r="A1612" t="s">
        <v>507</v>
      </c>
      <c r="B1612" t="s">
        <v>119</v>
      </c>
      <c r="C1612">
        <v>17.165607105601921</v>
      </c>
      <c r="D1612">
        <v>75.528671264648438</v>
      </c>
      <c r="E1612">
        <v>75.540824890136719</v>
      </c>
      <c r="F1612">
        <f>(Table[[#This Row],[price_lag]] - Table[[#This Row],[price]]) / Table[[#This Row],[price]]</f>
        <v>1.6091406461654271E-4</v>
      </c>
    </row>
    <row r="1613" spans="1:6" hidden="1" x14ac:dyDescent="0.2">
      <c r="A1613" t="s">
        <v>507</v>
      </c>
      <c r="B1613" t="s">
        <v>120</v>
      </c>
      <c r="C1613">
        <v>12.45419091416149</v>
      </c>
      <c r="D1613">
        <v>255.55999755859381</v>
      </c>
      <c r="E1613">
        <v>172.22999572753909</v>
      </c>
      <c r="F1613">
        <f>(Table[[#This Row],[price_lag]] - Table[[#This Row],[price]]) / Table[[#This Row],[price]]</f>
        <v>-0.32606825257129352</v>
      </c>
    </row>
    <row r="1614" spans="1:6" hidden="1" x14ac:dyDescent="0.2">
      <c r="A1614" t="s">
        <v>507</v>
      </c>
      <c r="B1614" t="s">
        <v>121</v>
      </c>
      <c r="C1614">
        <v>24.205239264519658</v>
      </c>
      <c r="D1614">
        <v>88.107070922851562</v>
      </c>
      <c r="E1614">
        <v>91.446601867675781</v>
      </c>
      <c r="F1614">
        <f>(Table[[#This Row],[price_lag]] - Table[[#This Row],[price]]) / Table[[#This Row],[price]]</f>
        <v>3.7903098012966333E-2</v>
      </c>
    </row>
    <row r="1615" spans="1:6" hidden="1" x14ac:dyDescent="0.2">
      <c r="A1615" t="s">
        <v>507</v>
      </c>
      <c r="B1615" t="s">
        <v>122</v>
      </c>
      <c r="C1615">
        <v>6.6145315133968756</v>
      </c>
      <c r="D1615">
        <v>33.375232696533203</v>
      </c>
      <c r="E1615">
        <v>33.21478271484375</v>
      </c>
      <c r="F1615">
        <f>(Table[[#This Row],[price_lag]] - Table[[#This Row],[price]]) / Table[[#This Row],[price]]</f>
        <v>-4.8074565696172543E-3</v>
      </c>
    </row>
    <row r="1616" spans="1:6" hidden="1" x14ac:dyDescent="0.2">
      <c r="A1616" t="s">
        <v>507</v>
      </c>
      <c r="B1616" t="s">
        <v>123</v>
      </c>
      <c r="C1616">
        <v>10.735054016113279</v>
      </c>
      <c r="D1616">
        <v>25.764129638671879</v>
      </c>
      <c r="E1616">
        <v>25.293622970581051</v>
      </c>
      <c r="F1616">
        <f>(Table[[#This Row],[price_lag]] - Table[[#This Row],[price]]) / Table[[#This Row],[price]]</f>
        <v>-1.8262082775138595E-2</v>
      </c>
    </row>
    <row r="1617" spans="1:6" hidden="1" x14ac:dyDescent="0.2">
      <c r="A1617" t="s">
        <v>507</v>
      </c>
      <c r="B1617" t="s">
        <v>124</v>
      </c>
      <c r="C1617">
        <v>12.347846784089739</v>
      </c>
      <c r="D1617">
        <v>93.843635559082031</v>
      </c>
      <c r="E1617">
        <v>102.33221435546881</v>
      </c>
      <c r="F1617">
        <f>(Table[[#This Row],[price_lag]] - Table[[#This Row],[price]]) / Table[[#This Row],[price]]</f>
        <v>9.0454496416462263E-2</v>
      </c>
    </row>
    <row r="1618" spans="1:6" hidden="1" x14ac:dyDescent="0.2">
      <c r="A1618" t="s">
        <v>507</v>
      </c>
      <c r="B1618" t="s">
        <v>125</v>
      </c>
      <c r="C1618">
        <v>23.94047631157769</v>
      </c>
      <c r="D1618">
        <v>86.185714721679688</v>
      </c>
      <c r="E1618">
        <v>107.85821533203119</v>
      </c>
      <c r="F1618">
        <f>(Table[[#This Row],[price_lag]] - Table[[#This Row],[price]]) / Table[[#This Row],[price]]</f>
        <v>0.25146279380914471</v>
      </c>
    </row>
    <row r="1619" spans="1:6" hidden="1" x14ac:dyDescent="0.2">
      <c r="A1619" t="s">
        <v>507</v>
      </c>
      <c r="B1619" t="s">
        <v>126</v>
      </c>
      <c r="C1619">
        <v>15.75162999770221</v>
      </c>
      <c r="D1619">
        <v>214.22216796875</v>
      </c>
      <c r="E1619">
        <v>180.04042053222659</v>
      </c>
      <c r="F1619">
        <f>(Table[[#This Row],[price_lag]] - Table[[#This Row],[price]]) / Table[[#This Row],[price]]</f>
        <v>-0.15956213943978817</v>
      </c>
    </row>
    <row r="1620" spans="1:6" hidden="1" x14ac:dyDescent="0.2">
      <c r="A1620" t="s">
        <v>507</v>
      </c>
      <c r="B1620" t="s">
        <v>127</v>
      </c>
      <c r="C1620">
        <v>20.685581599964809</v>
      </c>
      <c r="D1620">
        <v>225.05912780761719</v>
      </c>
      <c r="E1620">
        <v>200.88197326660159</v>
      </c>
      <c r="F1620">
        <f>(Table[[#This Row],[price_lag]] - Table[[#This Row],[price]]) / Table[[#This Row],[price]]</f>
        <v>-0.10742578973149879</v>
      </c>
    </row>
    <row r="1621" spans="1:6" hidden="1" x14ac:dyDescent="0.2">
      <c r="A1621" t="s">
        <v>507</v>
      </c>
      <c r="B1621" t="s">
        <v>128</v>
      </c>
      <c r="C1621">
        <v>43.808372178629568</v>
      </c>
      <c r="D1621">
        <v>91.430000305175781</v>
      </c>
      <c r="E1621">
        <v>84.349998474121094</v>
      </c>
      <c r="F1621">
        <f>(Table[[#This Row],[price_lag]] - Table[[#This Row],[price]]) / Table[[#This Row],[price]]</f>
        <v>-7.743630982634804E-2</v>
      </c>
    </row>
    <row r="1622" spans="1:6" hidden="1" x14ac:dyDescent="0.2">
      <c r="A1622" t="s">
        <v>507</v>
      </c>
      <c r="B1622" t="s">
        <v>129</v>
      </c>
      <c r="C1622">
        <v>36.331250667572021</v>
      </c>
      <c r="D1622">
        <v>58.130001068115227</v>
      </c>
      <c r="E1622">
        <v>56.590000152587891</v>
      </c>
      <c r="F1622">
        <f>(Table[[#This Row],[price_lag]] - Table[[#This Row],[price]]) / Table[[#This Row],[price]]</f>
        <v>-2.6492360007404844E-2</v>
      </c>
    </row>
    <row r="1623" spans="1:6" hidden="1" x14ac:dyDescent="0.2">
      <c r="A1623" t="s">
        <v>507</v>
      </c>
      <c r="B1623" t="s">
        <v>130</v>
      </c>
      <c r="C1623">
        <v>32.261856396992997</v>
      </c>
      <c r="D1623">
        <v>46.457073211669922</v>
      </c>
      <c r="E1623">
        <v>45.184368133544922</v>
      </c>
      <c r="F1623">
        <f>(Table[[#This Row],[price_lag]] - Table[[#This Row],[price]]) / Table[[#This Row],[price]]</f>
        <v>-2.7395291828356056E-2</v>
      </c>
    </row>
    <row r="1624" spans="1:6" hidden="1" x14ac:dyDescent="0.2">
      <c r="A1624" t="s">
        <v>507</v>
      </c>
      <c r="B1624" t="s">
        <v>131</v>
      </c>
      <c r="C1624">
        <v>23.975142565640539</v>
      </c>
      <c r="D1624">
        <v>337.57000732421881</v>
      </c>
      <c r="E1624">
        <v>348.72000122070312</v>
      </c>
      <c r="F1624">
        <f>(Table[[#This Row],[price_lag]] - Table[[#This Row],[price]]) / Table[[#This Row],[price]]</f>
        <v>3.3030167534331085E-2</v>
      </c>
    </row>
    <row r="1625" spans="1:6" hidden="1" x14ac:dyDescent="0.2">
      <c r="A1625" t="s">
        <v>507</v>
      </c>
      <c r="B1625" t="s">
        <v>132</v>
      </c>
      <c r="C1625">
        <v>0</v>
      </c>
      <c r="D1625">
        <v>55.985603332519531</v>
      </c>
      <c r="E1625">
        <v>62.459506988525391</v>
      </c>
      <c r="F1625">
        <f>(Table[[#This Row],[price_lag]] - Table[[#This Row],[price]]) / Table[[#This Row],[price]]</f>
        <v>0.11563515030024618</v>
      </c>
    </row>
    <row r="1626" spans="1:6" hidden="1" x14ac:dyDescent="0.2">
      <c r="A1626" t="s">
        <v>507</v>
      </c>
      <c r="B1626" t="s">
        <v>133</v>
      </c>
      <c r="C1626">
        <v>119.6999994913737</v>
      </c>
      <c r="D1626">
        <v>71.819999694824219</v>
      </c>
      <c r="E1626">
        <v>79.230003356933594</v>
      </c>
      <c r="F1626">
        <f>(Table[[#This Row],[price_lag]] - Table[[#This Row],[price]]) / Table[[#This Row],[price]]</f>
        <v>0.10317465460311585</v>
      </c>
    </row>
    <row r="1627" spans="1:6" hidden="1" x14ac:dyDescent="0.2">
      <c r="A1627" t="s">
        <v>507</v>
      </c>
      <c r="B1627" t="s">
        <v>134</v>
      </c>
      <c r="C1627">
        <v>56.631032684702937</v>
      </c>
      <c r="D1627">
        <v>917.4227294921875</v>
      </c>
      <c r="E1627">
        <v>941.9100341796875</v>
      </c>
      <c r="F1627">
        <f>(Table[[#This Row],[price_lag]] - Table[[#This Row],[price]]) / Table[[#This Row],[price]]</f>
        <v>2.6691408333707003E-2</v>
      </c>
    </row>
    <row r="1628" spans="1:6" hidden="1" x14ac:dyDescent="0.2">
      <c r="A1628" t="s">
        <v>507</v>
      </c>
      <c r="B1628" t="s">
        <v>135</v>
      </c>
      <c r="C1628">
        <v>15.40851950645447</v>
      </c>
      <c r="D1628">
        <v>24.653631210327148</v>
      </c>
      <c r="E1628">
        <v>28.14628982543945</v>
      </c>
      <c r="F1628">
        <f>(Table[[#This Row],[price_lag]] - Table[[#This Row],[price]]) / Table[[#This Row],[price]]</f>
        <v>0.14166913528134806</v>
      </c>
    </row>
    <row r="1629" spans="1:6" hidden="1" x14ac:dyDescent="0.2">
      <c r="A1629" t="s">
        <v>507</v>
      </c>
      <c r="B1629" t="s">
        <v>136</v>
      </c>
      <c r="C1629">
        <v>0</v>
      </c>
      <c r="D1629">
        <v>349.30999755859381</v>
      </c>
      <c r="E1629">
        <v>352.57998657226562</v>
      </c>
      <c r="F1629">
        <f>(Table[[#This Row],[price_lag]] - Table[[#This Row],[price]]) / Table[[#This Row],[price]]</f>
        <v>9.3612809153087728E-3</v>
      </c>
    </row>
    <row r="1630" spans="1:6" hidden="1" x14ac:dyDescent="0.2">
      <c r="A1630" t="s">
        <v>507</v>
      </c>
      <c r="B1630" t="s">
        <v>137</v>
      </c>
      <c r="C1630">
        <v>0</v>
      </c>
      <c r="D1630">
        <v>85.380859375</v>
      </c>
      <c r="E1630">
        <v>100.7815017700195</v>
      </c>
      <c r="F1630">
        <f>(Table[[#This Row],[price_lag]] - Table[[#This Row],[price]]) / Table[[#This Row],[price]]</f>
        <v>0.18037581851195209</v>
      </c>
    </row>
    <row r="1631" spans="1:6" hidden="1" x14ac:dyDescent="0.2">
      <c r="A1631" t="s">
        <v>507</v>
      </c>
      <c r="B1631" t="s">
        <v>138</v>
      </c>
      <c r="C1631">
        <v>20.507440415937179</v>
      </c>
      <c r="D1631">
        <v>31.643062591552731</v>
      </c>
      <c r="E1631">
        <v>29.08407020568848</v>
      </c>
      <c r="F1631">
        <f>(Table[[#This Row],[price_lag]] - Table[[#This Row],[price]]) / Table[[#This Row],[price]]</f>
        <v>-8.0870566129948057E-2</v>
      </c>
    </row>
    <row r="1632" spans="1:6" hidden="1" x14ac:dyDescent="0.2">
      <c r="A1632" t="s">
        <v>507</v>
      </c>
      <c r="B1632" t="s">
        <v>139</v>
      </c>
      <c r="C1632">
        <v>28.0900377976267</v>
      </c>
      <c r="D1632">
        <v>341.57485961914062</v>
      </c>
      <c r="E1632">
        <v>308.7528076171875</v>
      </c>
      <c r="F1632">
        <f>(Table[[#This Row],[price_lag]] - Table[[#This Row],[price]]) / Table[[#This Row],[price]]</f>
        <v>-9.6090362266561535E-2</v>
      </c>
    </row>
    <row r="1633" spans="1:6" hidden="1" x14ac:dyDescent="0.2">
      <c r="A1633" t="s">
        <v>507</v>
      </c>
      <c r="B1633" t="s">
        <v>140</v>
      </c>
      <c r="C1633">
        <v>7.9759859856758402</v>
      </c>
      <c r="D1633">
        <v>41.794166564941413</v>
      </c>
      <c r="E1633">
        <v>65.260368347167969</v>
      </c>
      <c r="F1633">
        <f>(Table[[#This Row],[price_lag]] - Table[[#This Row],[price]]) / Table[[#This Row],[price]]</f>
        <v>0.56147074366858951</v>
      </c>
    </row>
    <row r="1634" spans="1:6" hidden="1" x14ac:dyDescent="0.2">
      <c r="A1634" t="s">
        <v>507</v>
      </c>
      <c r="B1634" t="s">
        <v>141</v>
      </c>
      <c r="C1634">
        <v>38.036056518554688</v>
      </c>
      <c r="D1634">
        <v>228.2163391113281</v>
      </c>
      <c r="E1634">
        <v>204.03099060058591</v>
      </c>
      <c r="F1634">
        <f>(Table[[#This Row],[price_lag]] - Table[[#This Row],[price]]) / Table[[#This Row],[price]]</f>
        <v>-0.10597553446400756</v>
      </c>
    </row>
    <row r="1635" spans="1:6" hidden="1" x14ac:dyDescent="0.2">
      <c r="A1635" t="s">
        <v>507</v>
      </c>
      <c r="B1635" t="s">
        <v>142</v>
      </c>
      <c r="C1635">
        <v>24.581313002956371</v>
      </c>
      <c r="D1635">
        <v>179.9352111816406</v>
      </c>
      <c r="E1635">
        <v>201.6939697265625</v>
      </c>
      <c r="F1635">
        <f>(Table[[#This Row],[price_lag]] - Table[[#This Row],[price]]) / Table[[#This Row],[price]]</f>
        <v>0.120925517590645</v>
      </c>
    </row>
    <row r="1636" spans="1:6" hidden="1" x14ac:dyDescent="0.2">
      <c r="A1636" t="s">
        <v>507</v>
      </c>
      <c r="B1636" t="s">
        <v>143</v>
      </c>
      <c r="C1636">
        <v>277.24999647874102</v>
      </c>
      <c r="D1636">
        <v>144.16999816894531</v>
      </c>
      <c r="E1636">
        <v>99.209999084472656</v>
      </c>
      <c r="F1636">
        <f>(Table[[#This Row],[price_lag]] - Table[[#This Row],[price]]) / Table[[#This Row],[price]]</f>
        <v>-0.31185405878819789</v>
      </c>
    </row>
    <row r="1637" spans="1:6" hidden="1" x14ac:dyDescent="0.2">
      <c r="A1637" t="s">
        <v>507</v>
      </c>
      <c r="B1637" t="s">
        <v>144</v>
      </c>
      <c r="C1637">
        <v>11.77594286840667</v>
      </c>
      <c r="D1637">
        <v>149.78999328613281</v>
      </c>
      <c r="E1637">
        <v>152.9700012207031</v>
      </c>
      <c r="F1637">
        <f>(Table[[#This Row],[price_lag]] - Table[[#This Row],[price]]) / Table[[#This Row],[price]]</f>
        <v>2.1229775533107533E-2</v>
      </c>
    </row>
    <row r="1638" spans="1:6" hidden="1" x14ac:dyDescent="0.2">
      <c r="A1638" t="s">
        <v>507</v>
      </c>
      <c r="B1638" t="s">
        <v>145</v>
      </c>
      <c r="C1638">
        <v>258.89284951346258</v>
      </c>
      <c r="D1638">
        <v>72.489997863769531</v>
      </c>
      <c r="E1638">
        <v>58.330001831054688</v>
      </c>
      <c r="F1638">
        <f>(Table[[#This Row],[price_lag]] - Table[[#This Row],[price]]) / Table[[#This Row],[price]]</f>
        <v>-0.19533723892951035</v>
      </c>
    </row>
    <row r="1639" spans="1:6" hidden="1" x14ac:dyDescent="0.2">
      <c r="A1639" t="s">
        <v>507</v>
      </c>
      <c r="B1639" t="s">
        <v>146</v>
      </c>
      <c r="C1639">
        <v>17.08970054043488</v>
      </c>
      <c r="D1639">
        <v>205.75999450683591</v>
      </c>
      <c r="E1639">
        <v>111.80999755859381</v>
      </c>
      <c r="F1639">
        <f>(Table[[#This Row],[price_lag]] - Table[[#This Row],[price]]) / Table[[#This Row],[price]]</f>
        <v>-0.45659991959768848</v>
      </c>
    </row>
    <row r="1640" spans="1:6" hidden="1" x14ac:dyDescent="0.2">
      <c r="A1640" t="s">
        <v>507</v>
      </c>
      <c r="B1640" t="s">
        <v>147</v>
      </c>
      <c r="C1640">
        <v>32.602415084838867</v>
      </c>
      <c r="D1640">
        <v>417.3109130859375</v>
      </c>
      <c r="E1640">
        <v>464.63330078125</v>
      </c>
      <c r="F1640">
        <f>(Table[[#This Row],[price_lag]] - Table[[#This Row],[price]]) / Table[[#This Row],[price]]</f>
        <v>0.11339839484515787</v>
      </c>
    </row>
    <row r="1641" spans="1:6" hidden="1" x14ac:dyDescent="0.2">
      <c r="A1641" t="s">
        <v>507</v>
      </c>
      <c r="B1641" t="s">
        <v>148</v>
      </c>
      <c r="C1641">
        <v>12.746229608074451</v>
      </c>
      <c r="D1641">
        <v>112.27761077880859</v>
      </c>
      <c r="E1641">
        <v>89.488723754882812</v>
      </c>
      <c r="F1641">
        <f>(Table[[#This Row],[price_lag]] - Table[[#This Row],[price]]) / Table[[#This Row],[price]]</f>
        <v>-0.20296911259379044</v>
      </c>
    </row>
    <row r="1642" spans="1:6" hidden="1" x14ac:dyDescent="0.2">
      <c r="A1642" t="s">
        <v>507</v>
      </c>
      <c r="B1642" t="s">
        <v>149</v>
      </c>
      <c r="C1642">
        <v>11.45028849594466</v>
      </c>
      <c r="D1642">
        <v>59.99951171875</v>
      </c>
      <c r="E1642">
        <v>43.187641143798828</v>
      </c>
      <c r="F1642">
        <f>(Table[[#This Row],[price_lag]] - Table[[#This Row],[price]]) / Table[[#This Row],[price]]</f>
        <v>-0.28020012319029292</v>
      </c>
    </row>
    <row r="1643" spans="1:6" hidden="1" x14ac:dyDescent="0.2">
      <c r="A1643" t="s">
        <v>507</v>
      </c>
      <c r="B1643" t="s">
        <v>150</v>
      </c>
      <c r="C1643">
        <v>7.9344910018298096</v>
      </c>
      <c r="D1643">
        <v>31.103204727172852</v>
      </c>
      <c r="E1643">
        <v>36.646270751953118</v>
      </c>
      <c r="F1643">
        <f>(Table[[#This Row],[price_lag]] - Table[[#This Row],[price]]) / Table[[#This Row],[price]]</f>
        <v>0.17821526988624581</v>
      </c>
    </row>
    <row r="1644" spans="1:6" hidden="1" x14ac:dyDescent="0.2">
      <c r="A1644" t="s">
        <v>507</v>
      </c>
      <c r="B1644" t="s">
        <v>151</v>
      </c>
      <c r="C1644">
        <v>50</v>
      </c>
      <c r="D1644">
        <v>78</v>
      </c>
      <c r="E1644">
        <v>68.290000915527344</v>
      </c>
      <c r="F1644">
        <f>(Table[[#This Row],[price_lag]] - Table[[#This Row],[price]]) / Table[[#This Row],[price]]</f>
        <v>-0.12448716774964944</v>
      </c>
    </row>
    <row r="1645" spans="1:6" hidden="1" x14ac:dyDescent="0.2">
      <c r="A1645" t="s">
        <v>507</v>
      </c>
      <c r="B1645" t="s">
        <v>152</v>
      </c>
      <c r="C1645">
        <v>10.66319520207127</v>
      </c>
      <c r="D1645">
        <v>156.53570556640619</v>
      </c>
      <c r="E1645">
        <v>156.5632629394531</v>
      </c>
      <c r="F1645">
        <f>(Table[[#This Row],[price_lag]] - Table[[#This Row],[price]]) / Table[[#This Row],[price]]</f>
        <v>1.7604528594412553E-4</v>
      </c>
    </row>
    <row r="1646" spans="1:6" hidden="1" x14ac:dyDescent="0.2">
      <c r="A1646" t="s">
        <v>507</v>
      </c>
      <c r="B1646" t="s">
        <v>153</v>
      </c>
      <c r="C1646">
        <v>79.143757290310319</v>
      </c>
      <c r="D1646">
        <v>170.95051574707031</v>
      </c>
      <c r="E1646">
        <v>140.1770324707031</v>
      </c>
      <c r="F1646">
        <f>(Table[[#This Row],[price_lag]] - Table[[#This Row],[price]]) / Table[[#This Row],[price]]</f>
        <v>-0.18001398323885784</v>
      </c>
    </row>
    <row r="1647" spans="1:6" hidden="1" x14ac:dyDescent="0.2">
      <c r="A1647" t="s">
        <v>507</v>
      </c>
      <c r="B1647" t="s">
        <v>154</v>
      </c>
      <c r="C1647">
        <v>21.115346886645789</v>
      </c>
      <c r="D1647">
        <v>73.481407165527344</v>
      </c>
      <c r="E1647">
        <v>86.033462524414062</v>
      </c>
      <c r="F1647">
        <f>(Table[[#This Row],[price_lag]] - Table[[#This Row],[price]]) / Table[[#This Row],[price]]</f>
        <v>0.17081947451838292</v>
      </c>
    </row>
    <row r="1648" spans="1:6" hidden="1" x14ac:dyDescent="0.2">
      <c r="A1648" t="s">
        <v>507</v>
      </c>
      <c r="B1648" t="s">
        <v>155</v>
      </c>
      <c r="C1648">
        <v>0</v>
      </c>
      <c r="D1648">
        <v>74.769996643066406</v>
      </c>
      <c r="E1648">
        <v>75.069999694824219</v>
      </c>
      <c r="F1648">
        <f>(Table[[#This Row],[price_lag]] - Table[[#This Row],[price]]) / Table[[#This Row],[price]]</f>
        <v>4.0123453955729508E-3</v>
      </c>
    </row>
    <row r="1649" spans="1:6" hidden="1" x14ac:dyDescent="0.2">
      <c r="A1649" t="s">
        <v>507</v>
      </c>
      <c r="B1649" t="s">
        <v>156</v>
      </c>
      <c r="C1649">
        <v>75.531787008455467</v>
      </c>
      <c r="D1649">
        <v>51.418415069580078</v>
      </c>
      <c r="E1649">
        <v>54.158840179443359</v>
      </c>
      <c r="F1649">
        <f>(Table[[#This Row],[price_lag]] - Table[[#This Row],[price]]) / Table[[#This Row],[price]]</f>
        <v>5.3296569062949564E-2</v>
      </c>
    </row>
    <row r="1650" spans="1:6" hidden="1" x14ac:dyDescent="0.2">
      <c r="A1650" t="s">
        <v>507</v>
      </c>
      <c r="B1650" t="s">
        <v>157</v>
      </c>
      <c r="C1650">
        <v>20.945858601425989</v>
      </c>
      <c r="D1650">
        <v>414.11328125</v>
      </c>
      <c r="E1650">
        <v>454.0782470703125</v>
      </c>
      <c r="F1650">
        <f>(Table[[#This Row],[price_lag]] - Table[[#This Row],[price]]) / Table[[#This Row],[price]]</f>
        <v>9.650732693160273E-2</v>
      </c>
    </row>
    <row r="1651" spans="1:6" hidden="1" x14ac:dyDescent="0.2">
      <c r="A1651" t="s">
        <v>507</v>
      </c>
      <c r="B1651" t="s">
        <v>158</v>
      </c>
      <c r="C1651">
        <v>124.7058868408203</v>
      </c>
      <c r="D1651">
        <v>169.6000061035156</v>
      </c>
      <c r="E1651">
        <v>182.77000427246091</v>
      </c>
      <c r="F1651">
        <f>(Table[[#This Row],[price_lag]] - Table[[#This Row],[price]]) / Table[[#This Row],[price]]</f>
        <v>7.7653288295915432E-2</v>
      </c>
    </row>
    <row r="1652" spans="1:6" hidden="1" x14ac:dyDescent="0.2">
      <c r="A1652" t="s">
        <v>507</v>
      </c>
      <c r="B1652" t="s">
        <v>159</v>
      </c>
      <c r="C1652">
        <v>4.399532984867478</v>
      </c>
      <c r="D1652">
        <v>184.25244140625</v>
      </c>
      <c r="E1652">
        <v>174.18699645996091</v>
      </c>
      <c r="F1652">
        <f>(Table[[#This Row],[price_lag]] - Table[[#This Row],[price]]) / Table[[#This Row],[price]]</f>
        <v>-5.4628556720701681E-2</v>
      </c>
    </row>
    <row r="1653" spans="1:6" hidden="1" x14ac:dyDescent="0.2">
      <c r="A1653" t="s">
        <v>507</v>
      </c>
      <c r="B1653" t="s">
        <v>160</v>
      </c>
      <c r="C1653">
        <v>0</v>
      </c>
      <c r="D1653">
        <v>36.696788787841797</v>
      </c>
      <c r="E1653">
        <v>33.093978881835938</v>
      </c>
      <c r="F1653">
        <f>(Table[[#This Row],[price_lag]] - Table[[#This Row],[price]]) / Table[[#This Row],[price]]</f>
        <v>-9.8177797704182904E-2</v>
      </c>
    </row>
    <row r="1654" spans="1:6" hidden="1" x14ac:dyDescent="0.2">
      <c r="A1654" t="s">
        <v>507</v>
      </c>
      <c r="B1654" t="s">
        <v>161</v>
      </c>
      <c r="C1654">
        <v>13.11029064338017</v>
      </c>
      <c r="D1654">
        <v>137.9202575683594</v>
      </c>
      <c r="E1654">
        <v>126.0064392089844</v>
      </c>
      <c r="F1654">
        <f>(Table[[#This Row],[price_lag]] - Table[[#This Row],[price]]) / Table[[#This Row],[price]]</f>
        <v>-8.6381932352975657E-2</v>
      </c>
    </row>
    <row r="1655" spans="1:6" hidden="1" x14ac:dyDescent="0.2">
      <c r="A1655" t="s">
        <v>507</v>
      </c>
      <c r="B1655" t="s">
        <v>162</v>
      </c>
      <c r="C1655">
        <v>17.19965751895511</v>
      </c>
      <c r="D1655">
        <v>116.6136779785156</v>
      </c>
      <c r="E1655">
        <v>134.8417053222656</v>
      </c>
      <c r="F1655">
        <f>(Table[[#This Row],[price_lag]] - Table[[#This Row],[price]]) / Table[[#This Row],[price]]</f>
        <v>0.15631122917766346</v>
      </c>
    </row>
    <row r="1656" spans="1:6" hidden="1" x14ac:dyDescent="0.2">
      <c r="A1656" t="s">
        <v>507</v>
      </c>
      <c r="B1656" t="s">
        <v>163</v>
      </c>
      <c r="C1656">
        <v>16.87505028464577</v>
      </c>
      <c r="D1656">
        <v>103.950309753418</v>
      </c>
      <c r="E1656">
        <v>118.8020553588867</v>
      </c>
      <c r="F1656">
        <f>(Table[[#This Row],[price_lag]] - Table[[#This Row],[price]]) / Table[[#This Row],[price]]</f>
        <v>0.14287350985965067</v>
      </c>
    </row>
    <row r="1657" spans="1:6" hidden="1" x14ac:dyDescent="0.2">
      <c r="A1657" t="s">
        <v>507</v>
      </c>
      <c r="B1657" t="s">
        <v>164</v>
      </c>
      <c r="C1657">
        <v>0</v>
      </c>
      <c r="D1657">
        <v>31.10642242431641</v>
      </c>
      <c r="E1657">
        <v>30.740409851074219</v>
      </c>
      <c r="F1657">
        <f>(Table[[#This Row],[price_lag]] - Table[[#This Row],[price]]) / Table[[#This Row],[price]]</f>
        <v>-1.1766463151869015E-2</v>
      </c>
    </row>
    <row r="1658" spans="1:6" hidden="1" x14ac:dyDescent="0.2">
      <c r="A1658" t="s">
        <v>507</v>
      </c>
      <c r="B1658" t="s">
        <v>165</v>
      </c>
      <c r="C1658">
        <v>7.6137750190601006</v>
      </c>
      <c r="D1658">
        <v>86.797035217285156</v>
      </c>
      <c r="E1658">
        <v>84.995521545410156</v>
      </c>
      <c r="F1658">
        <f>(Table[[#This Row],[price_lag]] - Table[[#This Row],[price]]) / Table[[#This Row],[price]]</f>
        <v>-2.0755474739029316E-2</v>
      </c>
    </row>
    <row r="1659" spans="1:6" hidden="1" x14ac:dyDescent="0.2">
      <c r="A1659" t="s">
        <v>507</v>
      </c>
      <c r="B1659" t="s">
        <v>166</v>
      </c>
      <c r="C1659">
        <v>33.441016344520143</v>
      </c>
      <c r="D1659">
        <v>329.05960083007812</v>
      </c>
      <c r="E1659">
        <v>270.10012817382812</v>
      </c>
      <c r="F1659">
        <f>(Table[[#This Row],[price_lag]] - Table[[#This Row],[price]]) / Table[[#This Row],[price]]</f>
        <v>-0.17917566455292658</v>
      </c>
    </row>
    <row r="1660" spans="1:6" hidden="1" x14ac:dyDescent="0.2">
      <c r="A1660" t="s">
        <v>507</v>
      </c>
      <c r="B1660" t="s">
        <v>167</v>
      </c>
      <c r="C1660">
        <v>10.686300184343249</v>
      </c>
      <c r="D1660">
        <v>61.125637054443359</v>
      </c>
      <c r="E1660">
        <v>67.012748718261719</v>
      </c>
      <c r="F1660">
        <f>(Table[[#This Row],[price_lag]] - Table[[#This Row],[price]]) / Table[[#This Row],[price]]</f>
        <v>9.6311661481332772E-2</v>
      </c>
    </row>
    <row r="1661" spans="1:6" hidden="1" x14ac:dyDescent="0.2">
      <c r="A1661" t="s">
        <v>507</v>
      </c>
      <c r="B1661" t="s">
        <v>168</v>
      </c>
      <c r="C1661">
        <v>34.750331947189608</v>
      </c>
      <c r="D1661">
        <v>232.13221740722659</v>
      </c>
      <c r="E1661">
        <v>251.58799743652341</v>
      </c>
      <c r="F1661">
        <f>(Table[[#This Row],[price_lag]] - Table[[#This Row],[price]]) / Table[[#This Row],[price]]</f>
        <v>8.3813355365342471E-2</v>
      </c>
    </row>
    <row r="1662" spans="1:6" hidden="1" x14ac:dyDescent="0.2">
      <c r="A1662" t="s">
        <v>507</v>
      </c>
      <c r="B1662" t="s">
        <v>169</v>
      </c>
      <c r="C1662">
        <v>22.275167470937731</v>
      </c>
      <c r="D1662">
        <v>74.176307678222656</v>
      </c>
      <c r="E1662">
        <v>55.4354248046875</v>
      </c>
      <c r="F1662">
        <f>(Table[[#This Row],[price_lag]] - Table[[#This Row],[price]]) / Table[[#This Row],[price]]</f>
        <v>-0.25265321852946954</v>
      </c>
    </row>
    <row r="1663" spans="1:6" hidden="1" x14ac:dyDescent="0.2">
      <c r="A1663" t="s">
        <v>507</v>
      </c>
      <c r="B1663" t="s">
        <v>170</v>
      </c>
      <c r="C1663">
        <v>28.553845332219051</v>
      </c>
      <c r="D1663">
        <v>74.239997863769531</v>
      </c>
      <c r="E1663">
        <v>72.480003356933594</v>
      </c>
      <c r="F1663">
        <f>(Table[[#This Row],[price_lag]] - Table[[#This Row],[price]]) / Table[[#This Row],[price]]</f>
        <v>-2.3706823241907E-2</v>
      </c>
    </row>
    <row r="1664" spans="1:6" hidden="1" x14ac:dyDescent="0.2">
      <c r="A1664" t="s">
        <v>507</v>
      </c>
      <c r="B1664" t="s">
        <v>171</v>
      </c>
      <c r="C1664">
        <v>32.553952080862857</v>
      </c>
      <c r="D1664">
        <v>145.8417053222656</v>
      </c>
      <c r="E1664">
        <v>144.03910827636719</v>
      </c>
      <c r="F1664">
        <f>(Table[[#This Row],[price_lag]] - Table[[#This Row],[price]]) / Table[[#This Row],[price]]</f>
        <v>-1.2359955898178922E-2</v>
      </c>
    </row>
    <row r="1665" spans="1:6" hidden="1" x14ac:dyDescent="0.2">
      <c r="A1665" t="s">
        <v>507</v>
      </c>
      <c r="B1665" t="s">
        <v>172</v>
      </c>
      <c r="C1665">
        <v>49.223602919497488</v>
      </c>
      <c r="D1665">
        <v>361.79879760742188</v>
      </c>
      <c r="E1665">
        <v>428.49234008789062</v>
      </c>
      <c r="F1665">
        <f>(Table[[#This Row],[price_lag]] - Table[[#This Row],[price]]) / Table[[#This Row],[price]]</f>
        <v>0.18433876210068589</v>
      </c>
    </row>
    <row r="1666" spans="1:6" hidden="1" x14ac:dyDescent="0.2">
      <c r="A1666" t="s">
        <v>507</v>
      </c>
      <c r="B1666" t="s">
        <v>173</v>
      </c>
      <c r="C1666">
        <v>29.443013391564818</v>
      </c>
      <c r="D1666">
        <v>122.17884826660161</v>
      </c>
      <c r="E1666">
        <v>108.259895324707</v>
      </c>
      <c r="F1666">
        <f>(Table[[#This Row],[price_lag]] - Table[[#This Row],[price]]) / Table[[#This Row],[price]]</f>
        <v>-0.11392277091630958</v>
      </c>
    </row>
    <row r="1667" spans="1:6" hidden="1" x14ac:dyDescent="0.2">
      <c r="A1667" t="s">
        <v>507</v>
      </c>
      <c r="B1667" t="s">
        <v>174</v>
      </c>
      <c r="C1667">
        <v>38.146740457286</v>
      </c>
      <c r="D1667">
        <v>70.19000244140625</v>
      </c>
      <c r="E1667">
        <v>62.049999237060547</v>
      </c>
      <c r="F1667">
        <f>(Table[[#This Row],[price_lag]] - Table[[#This Row],[price]]) / Table[[#This Row],[price]]</f>
        <v>-0.11597097764942917</v>
      </c>
    </row>
    <row r="1668" spans="1:6" hidden="1" x14ac:dyDescent="0.2">
      <c r="A1668" t="s">
        <v>507</v>
      </c>
      <c r="B1668" t="s">
        <v>175</v>
      </c>
      <c r="C1668">
        <v>27.48982443738339</v>
      </c>
      <c r="D1668">
        <v>73.6727294921875</v>
      </c>
      <c r="E1668">
        <v>83.7554931640625</v>
      </c>
      <c r="F1668">
        <f>(Table[[#This Row],[price_lag]] - Table[[#This Row],[price]]) / Table[[#This Row],[price]]</f>
        <v>0.13685883150215317</v>
      </c>
    </row>
    <row r="1669" spans="1:6" hidden="1" x14ac:dyDescent="0.2">
      <c r="A1669" t="s">
        <v>507</v>
      </c>
      <c r="B1669" t="s">
        <v>176</v>
      </c>
      <c r="C1669">
        <v>12.82765960693359</v>
      </c>
      <c r="D1669">
        <v>115.4489364624023</v>
      </c>
      <c r="E1669">
        <v>123.6563339233398</v>
      </c>
      <c r="F1669">
        <f>(Table[[#This Row],[price_lag]] - Table[[#This Row],[price]]) / Table[[#This Row],[price]]</f>
        <v>7.1091148281044264E-2</v>
      </c>
    </row>
    <row r="1670" spans="1:6" hidden="1" x14ac:dyDescent="0.2">
      <c r="A1670" t="s">
        <v>507</v>
      </c>
      <c r="B1670" t="s">
        <v>177</v>
      </c>
      <c r="C1670">
        <v>32.236262730189729</v>
      </c>
      <c r="D1670">
        <v>234.67999267578119</v>
      </c>
      <c r="E1670">
        <v>168.8399963378906</v>
      </c>
      <c r="F1670">
        <f>(Table[[#This Row],[price_lag]] - Table[[#This Row],[price]]) / Table[[#This Row],[price]]</f>
        <v>-0.28055223450109318</v>
      </c>
    </row>
    <row r="1671" spans="1:6" hidden="1" x14ac:dyDescent="0.2">
      <c r="A1671" t="s">
        <v>507</v>
      </c>
      <c r="B1671" t="s">
        <v>178</v>
      </c>
      <c r="C1671">
        <v>16.441760744367329</v>
      </c>
      <c r="D1671">
        <v>46.036930084228523</v>
      </c>
      <c r="E1671">
        <v>52.952320098876953</v>
      </c>
      <c r="F1671">
        <f>(Table[[#This Row],[price_lag]] - Table[[#This Row],[price]]) / Table[[#This Row],[price]]</f>
        <v>0.15021396956739144</v>
      </c>
    </row>
    <row r="1672" spans="1:6" hidden="1" x14ac:dyDescent="0.2">
      <c r="A1672" t="s">
        <v>507</v>
      </c>
      <c r="B1672" t="s">
        <v>179</v>
      </c>
      <c r="C1672">
        <v>45.216726575578967</v>
      </c>
      <c r="D1672">
        <v>253.21366882324219</v>
      </c>
      <c r="E1672">
        <v>242.03663635253909</v>
      </c>
      <c r="F1672">
        <f>(Table[[#This Row],[price_lag]] - Table[[#This Row],[price]]) / Table[[#This Row],[price]]</f>
        <v>-4.4140715320172198E-2</v>
      </c>
    </row>
    <row r="1673" spans="1:6" hidden="1" x14ac:dyDescent="0.2">
      <c r="A1673" t="s">
        <v>507</v>
      </c>
      <c r="B1673" t="s">
        <v>180</v>
      </c>
      <c r="C1673">
        <v>0</v>
      </c>
      <c r="D1673">
        <v>914.94677734375</v>
      </c>
      <c r="E1673">
        <v>801.2147216796875</v>
      </c>
      <c r="F1673">
        <f>(Table[[#This Row],[price_lag]] - Table[[#This Row],[price]]) / Table[[#This Row],[price]]</f>
        <v>-0.12430455899767906</v>
      </c>
    </row>
    <row r="1674" spans="1:6" hidden="1" x14ac:dyDescent="0.2">
      <c r="A1674" t="s">
        <v>507</v>
      </c>
      <c r="B1674" t="s">
        <v>181</v>
      </c>
      <c r="C1674">
        <v>15.368007313121449</v>
      </c>
      <c r="D1674">
        <v>67.619232177734375</v>
      </c>
      <c r="E1674">
        <v>69.337379455566406</v>
      </c>
      <c r="F1674">
        <f>(Table[[#This Row],[price_lag]] - Table[[#This Row],[price]]) / Table[[#This Row],[price]]</f>
        <v>2.5409150954508797E-2</v>
      </c>
    </row>
    <row r="1675" spans="1:6" hidden="1" x14ac:dyDescent="0.2">
      <c r="A1675" t="s">
        <v>507</v>
      </c>
      <c r="B1675" t="s">
        <v>182</v>
      </c>
      <c r="C1675">
        <v>30.913019472835991</v>
      </c>
      <c r="D1675">
        <v>403.10577392578119</v>
      </c>
      <c r="E1675">
        <v>412.0093994140625</v>
      </c>
      <c r="F1675">
        <f>(Table[[#This Row],[price_lag]] - Table[[#This Row],[price]]) / Table[[#This Row],[price]]</f>
        <v>2.2087566252327162E-2</v>
      </c>
    </row>
    <row r="1676" spans="1:6" hidden="1" x14ac:dyDescent="0.2">
      <c r="A1676" t="s">
        <v>507</v>
      </c>
      <c r="B1676" t="s">
        <v>183</v>
      </c>
      <c r="C1676">
        <v>16.843825266545551</v>
      </c>
      <c r="D1676">
        <v>270.17495727539062</v>
      </c>
      <c r="E1676">
        <v>297.921630859375</v>
      </c>
      <c r="F1676">
        <f>(Table[[#This Row],[price_lag]] - Table[[#This Row],[price]]) / Table[[#This Row],[price]]</f>
        <v>0.10269890986122025</v>
      </c>
    </row>
    <row r="1677" spans="1:6" hidden="1" x14ac:dyDescent="0.2">
      <c r="A1677" t="s">
        <v>507</v>
      </c>
      <c r="B1677" t="s">
        <v>184</v>
      </c>
      <c r="C1677">
        <v>0</v>
      </c>
      <c r="D1677">
        <v>72.904205322265625</v>
      </c>
      <c r="E1677">
        <v>65.168731689453125</v>
      </c>
      <c r="F1677">
        <f>(Table[[#This Row],[price_lag]] - Table[[#This Row],[price]]) / Table[[#This Row],[price]]</f>
        <v>-0.10610462865096225</v>
      </c>
    </row>
    <row r="1678" spans="1:6" hidden="1" x14ac:dyDescent="0.2">
      <c r="A1678" t="s">
        <v>507</v>
      </c>
      <c r="B1678" t="s">
        <v>185</v>
      </c>
      <c r="C1678">
        <v>0</v>
      </c>
      <c r="D1678">
        <v>355.59335327148438</v>
      </c>
      <c r="E1678">
        <v>361.21612548828119</v>
      </c>
      <c r="F1678">
        <f>(Table[[#This Row],[price_lag]] - Table[[#This Row],[price]]) / Table[[#This Row],[price]]</f>
        <v>1.5812365909168184E-2</v>
      </c>
    </row>
    <row r="1679" spans="1:6" hidden="1" x14ac:dyDescent="0.2">
      <c r="A1679" t="s">
        <v>507</v>
      </c>
      <c r="B1679" t="s">
        <v>186</v>
      </c>
      <c r="C1679">
        <v>15.61348444553667</v>
      </c>
      <c r="D1679">
        <v>59.175106048583977</v>
      </c>
      <c r="E1679">
        <v>67.002098083496094</v>
      </c>
      <c r="F1679">
        <f>(Table[[#This Row],[price_lag]] - Table[[#This Row],[price]]) / Table[[#This Row],[price]]</f>
        <v>0.13226832290737248</v>
      </c>
    </row>
    <row r="1680" spans="1:6" hidden="1" x14ac:dyDescent="0.2">
      <c r="A1680" t="s">
        <v>507</v>
      </c>
      <c r="B1680" t="s">
        <v>187</v>
      </c>
      <c r="C1680">
        <v>68.348255157470703</v>
      </c>
      <c r="D1680">
        <v>54.678604125976562</v>
      </c>
      <c r="E1680">
        <v>59.985408782958977</v>
      </c>
      <c r="F1680">
        <f>(Table[[#This Row],[price_lag]] - Table[[#This Row],[price]]) / Table[[#This Row],[price]]</f>
        <v>9.7054501332108301E-2</v>
      </c>
    </row>
    <row r="1681" spans="1:6" hidden="1" x14ac:dyDescent="0.2">
      <c r="A1681" t="s">
        <v>507</v>
      </c>
      <c r="B1681" t="s">
        <v>188</v>
      </c>
      <c r="C1681">
        <v>14.10093944984604</v>
      </c>
      <c r="D1681">
        <v>36.310031890869141</v>
      </c>
      <c r="E1681">
        <v>44.877338409423828</v>
      </c>
      <c r="F1681">
        <f>(Table[[#This Row],[price_lag]] - Table[[#This Row],[price]]) / Table[[#This Row],[price]]</f>
        <v>0.23594874673489621</v>
      </c>
    </row>
    <row r="1682" spans="1:6" hidden="1" x14ac:dyDescent="0.2">
      <c r="A1682" t="s">
        <v>507</v>
      </c>
      <c r="B1682" t="s">
        <v>189</v>
      </c>
      <c r="C1682">
        <v>0</v>
      </c>
      <c r="D1682">
        <v>96.788925170898438</v>
      </c>
      <c r="E1682">
        <v>108.54798889160161</v>
      </c>
      <c r="F1682">
        <f>(Table[[#This Row],[price_lag]] - Table[[#This Row],[price]]) / Table[[#This Row],[price]]</f>
        <v>0.12149183080543981</v>
      </c>
    </row>
    <row r="1683" spans="1:6" hidden="1" x14ac:dyDescent="0.2">
      <c r="A1683" t="s">
        <v>507</v>
      </c>
      <c r="B1683" t="s">
        <v>190</v>
      </c>
      <c r="C1683">
        <v>19.93499131038271</v>
      </c>
      <c r="D1683">
        <v>184.99671936035159</v>
      </c>
      <c r="E1683">
        <v>167.10394287109381</v>
      </c>
      <c r="F1683">
        <f>(Table[[#This Row],[price_lag]] - Table[[#This Row],[price]]) / Table[[#This Row],[price]]</f>
        <v>-9.6719425896438657E-2</v>
      </c>
    </row>
    <row r="1684" spans="1:6" hidden="1" x14ac:dyDescent="0.2">
      <c r="A1684" t="s">
        <v>507</v>
      </c>
      <c r="B1684" t="s">
        <v>191</v>
      </c>
      <c r="C1684">
        <v>16.193252202321791</v>
      </c>
      <c r="D1684">
        <v>109.4663848876953</v>
      </c>
      <c r="E1684">
        <v>118.80263519287109</v>
      </c>
      <c r="F1684">
        <f>(Table[[#This Row],[price_lag]] - Table[[#This Row],[price]]) / Table[[#This Row],[price]]</f>
        <v>8.5288742427678796E-2</v>
      </c>
    </row>
    <row r="1685" spans="1:6" hidden="1" x14ac:dyDescent="0.2">
      <c r="A1685" t="s">
        <v>507</v>
      </c>
      <c r="B1685" t="s">
        <v>192</v>
      </c>
      <c r="C1685">
        <v>28.371186410227129</v>
      </c>
      <c r="D1685">
        <v>140.72108459472659</v>
      </c>
      <c r="E1685">
        <v>143.51506042480469</v>
      </c>
      <c r="F1685">
        <f>(Table[[#This Row],[price_lag]] - Table[[#This Row],[price]]) / Table[[#This Row],[price]]</f>
        <v>1.9854706479307496E-2</v>
      </c>
    </row>
    <row r="1686" spans="1:6" hidden="1" x14ac:dyDescent="0.2">
      <c r="A1686" t="s">
        <v>507</v>
      </c>
      <c r="B1686" t="s">
        <v>193</v>
      </c>
      <c r="C1686">
        <v>14.82789017433344</v>
      </c>
      <c r="D1686">
        <v>102.01588439941411</v>
      </c>
      <c r="E1686">
        <v>115.7457656860352</v>
      </c>
      <c r="F1686">
        <f>(Table[[#This Row],[price_lag]] - Table[[#This Row],[price]]) / Table[[#This Row],[price]]</f>
        <v>0.13458572032631369</v>
      </c>
    </row>
    <row r="1687" spans="1:6" hidden="1" x14ac:dyDescent="0.2">
      <c r="A1687" t="s">
        <v>507</v>
      </c>
      <c r="B1687" t="s">
        <v>194</v>
      </c>
      <c r="C1687">
        <v>22.147368046275361</v>
      </c>
      <c r="D1687">
        <v>252.47999572753909</v>
      </c>
      <c r="E1687">
        <v>266.26998901367188</v>
      </c>
      <c r="F1687">
        <f>(Table[[#This Row],[price_lag]] - Table[[#This Row],[price]]) / Table[[#This Row],[price]]</f>
        <v>5.4618161911782107E-2</v>
      </c>
    </row>
    <row r="1688" spans="1:6" hidden="1" x14ac:dyDescent="0.2">
      <c r="A1688" t="s">
        <v>507</v>
      </c>
      <c r="B1688" t="s">
        <v>195</v>
      </c>
      <c r="C1688">
        <v>30.198248368275319</v>
      </c>
      <c r="D1688">
        <v>477.13232421875</v>
      </c>
      <c r="E1688">
        <v>450.44488525390619</v>
      </c>
      <c r="F1688">
        <f>(Table[[#This Row],[price_lag]] - Table[[#This Row],[price]]) / Table[[#This Row],[price]]</f>
        <v>-5.5932993029850699E-2</v>
      </c>
    </row>
    <row r="1689" spans="1:6" hidden="1" x14ac:dyDescent="0.2">
      <c r="A1689" t="s">
        <v>507</v>
      </c>
      <c r="B1689" t="s">
        <v>196</v>
      </c>
      <c r="C1689">
        <v>80.417333243373108</v>
      </c>
      <c r="D1689">
        <v>2013.650024414062</v>
      </c>
      <c r="E1689">
        <v>1844.160034179688</v>
      </c>
      <c r="F1689">
        <f>(Table[[#This Row],[price_lag]] - Table[[#This Row],[price]]) / Table[[#This Row],[price]]</f>
        <v>-8.4170530220956746E-2</v>
      </c>
    </row>
    <row r="1690" spans="1:6" hidden="1" x14ac:dyDescent="0.2">
      <c r="A1690" t="s">
        <v>507</v>
      </c>
      <c r="B1690" t="s">
        <v>197</v>
      </c>
      <c r="C1690">
        <v>38.273844511612602</v>
      </c>
      <c r="D1690">
        <v>35.211936950683587</v>
      </c>
      <c r="E1690">
        <v>38.187381744384773</v>
      </c>
      <c r="F1690">
        <f>(Table[[#This Row],[price_lag]] - Table[[#This Row],[price]]) / Table[[#This Row],[price]]</f>
        <v>8.4501025827362852E-2</v>
      </c>
    </row>
    <row r="1691" spans="1:6" hidden="1" x14ac:dyDescent="0.2">
      <c r="A1691" t="s">
        <v>507</v>
      </c>
      <c r="B1691" t="s">
        <v>198</v>
      </c>
      <c r="C1691">
        <v>34.983469645182289</v>
      </c>
      <c r="D1691">
        <v>104.9504089355469</v>
      </c>
      <c r="E1691">
        <v>93.473907470703125</v>
      </c>
      <c r="F1691">
        <f>(Table[[#This Row],[price_lag]] - Table[[#This Row],[price]]) / Table[[#This Row],[price]]</f>
        <v>-0.10935166028644853</v>
      </c>
    </row>
    <row r="1692" spans="1:6" hidden="1" x14ac:dyDescent="0.2">
      <c r="A1692" t="s">
        <v>507</v>
      </c>
      <c r="B1692" t="s">
        <v>199</v>
      </c>
      <c r="C1692">
        <v>22.39095899793837</v>
      </c>
      <c r="D1692">
        <v>274.06533813476562</v>
      </c>
      <c r="E1692">
        <v>239.44657897949219</v>
      </c>
      <c r="F1692">
        <f>(Table[[#This Row],[price_lag]] - Table[[#This Row],[price]]) / Table[[#This Row],[price]]</f>
        <v>-0.12631571504401778</v>
      </c>
    </row>
    <row r="1693" spans="1:6" hidden="1" x14ac:dyDescent="0.2">
      <c r="A1693" t="s">
        <v>507</v>
      </c>
      <c r="B1693" t="s">
        <v>200</v>
      </c>
      <c r="C1693">
        <v>37.88423905005822</v>
      </c>
      <c r="D1693">
        <v>78.799217224121094</v>
      </c>
      <c r="E1693">
        <v>73.43267822265625</v>
      </c>
      <c r="F1693">
        <f>(Table[[#This Row],[price_lag]] - Table[[#This Row],[price]]) / Table[[#This Row],[price]]</f>
        <v>-6.8103963345236149E-2</v>
      </c>
    </row>
    <row r="1694" spans="1:6" hidden="1" x14ac:dyDescent="0.2">
      <c r="A1694" t="s">
        <v>507</v>
      </c>
      <c r="B1694" t="s">
        <v>201</v>
      </c>
      <c r="C1694">
        <v>11.87770533007245</v>
      </c>
      <c r="D1694">
        <v>40.859306335449219</v>
      </c>
      <c r="E1694">
        <v>38.184215545654297</v>
      </c>
      <c r="F1694">
        <f>(Table[[#This Row],[price_lag]] - Table[[#This Row],[price]]) / Table[[#This Row],[price]]</f>
        <v>-6.5470783273528899E-2</v>
      </c>
    </row>
    <row r="1695" spans="1:6" hidden="1" x14ac:dyDescent="0.2">
      <c r="A1695" t="s">
        <v>507</v>
      </c>
      <c r="B1695" t="s">
        <v>202</v>
      </c>
      <c r="C1695">
        <v>12.1301094907506</v>
      </c>
      <c r="D1695">
        <v>178.07000732421881</v>
      </c>
      <c r="E1695">
        <v>126.4300003051758</v>
      </c>
      <c r="F1695">
        <f>(Table[[#This Row],[price_lag]] - Table[[#This Row],[price]]) / Table[[#This Row],[price]]</f>
        <v>-0.28999834275864378</v>
      </c>
    </row>
    <row r="1696" spans="1:6" hidden="1" x14ac:dyDescent="0.2">
      <c r="A1696" t="s">
        <v>507</v>
      </c>
      <c r="B1696" t="s">
        <v>203</v>
      </c>
      <c r="C1696">
        <v>22.37974279067096</v>
      </c>
      <c r="D1696">
        <v>38.045562744140618</v>
      </c>
      <c r="E1696">
        <v>39.209442138671882</v>
      </c>
      <c r="F1696">
        <f>(Table[[#This Row],[price_lag]] - Table[[#This Row],[price]]) / Table[[#This Row],[price]]</f>
        <v>3.0591725041851637E-2</v>
      </c>
    </row>
    <row r="1697" spans="1:6" hidden="1" x14ac:dyDescent="0.2">
      <c r="A1697" t="s">
        <v>507</v>
      </c>
      <c r="B1697" t="s">
        <v>204</v>
      </c>
      <c r="C1697">
        <v>31.00646379194011</v>
      </c>
      <c r="D1697">
        <v>206.27000427246091</v>
      </c>
      <c r="E1697">
        <v>220.83000183105469</v>
      </c>
      <c r="F1697">
        <f>(Table[[#This Row],[price_lag]] - Table[[#This Row],[price]]) / Table[[#This Row],[price]]</f>
        <v>7.0587081286727263E-2</v>
      </c>
    </row>
    <row r="1698" spans="1:6" hidden="1" x14ac:dyDescent="0.2">
      <c r="A1698" t="s">
        <v>507</v>
      </c>
      <c r="B1698" t="s">
        <v>205</v>
      </c>
      <c r="C1698">
        <v>6.2151451368589656</v>
      </c>
      <c r="D1698">
        <v>9.1984148025512695</v>
      </c>
      <c r="E1698">
        <v>9.6432323455810547</v>
      </c>
      <c r="F1698">
        <f>(Table[[#This Row],[price_lag]] - Table[[#This Row],[price]]) / Table[[#This Row],[price]]</f>
        <v>4.8358065229501361E-2</v>
      </c>
    </row>
    <row r="1699" spans="1:6" hidden="1" x14ac:dyDescent="0.2">
      <c r="A1699" t="s">
        <v>507</v>
      </c>
      <c r="B1699" t="s">
        <v>206</v>
      </c>
      <c r="C1699">
        <v>34.467390309209406</v>
      </c>
      <c r="D1699">
        <v>95.129997253417969</v>
      </c>
      <c r="E1699">
        <v>96.260002136230469</v>
      </c>
      <c r="F1699">
        <f>(Table[[#This Row],[price_lag]] - Table[[#This Row],[price]]) / Table[[#This Row],[price]]</f>
        <v>1.1878533747901475E-2</v>
      </c>
    </row>
    <row r="1700" spans="1:6" hidden="1" x14ac:dyDescent="0.2">
      <c r="A1700" t="s">
        <v>507</v>
      </c>
      <c r="B1700" t="s">
        <v>207</v>
      </c>
      <c r="C1700">
        <v>23.072280258428851</v>
      </c>
      <c r="D1700">
        <v>56.296363830566413</v>
      </c>
      <c r="E1700">
        <v>54.956184387207031</v>
      </c>
      <c r="F1700">
        <f>(Table[[#This Row],[price_lag]] - Table[[#This Row],[price]]) / Table[[#This Row],[price]]</f>
        <v>-2.3805790501725523E-2</v>
      </c>
    </row>
    <row r="1701" spans="1:6" hidden="1" x14ac:dyDescent="0.2">
      <c r="A1701" t="s">
        <v>507</v>
      </c>
      <c r="B1701" t="s">
        <v>208</v>
      </c>
      <c r="C1701">
        <v>14.932876163058809</v>
      </c>
      <c r="D1701">
        <v>48.382518768310547</v>
      </c>
      <c r="E1701">
        <v>56.340408325195312</v>
      </c>
      <c r="F1701">
        <f>(Table[[#This Row],[price_lag]] - Table[[#This Row],[price]]) / Table[[#This Row],[price]]</f>
        <v>0.16447861251276985</v>
      </c>
    </row>
    <row r="1702" spans="1:6" hidden="1" x14ac:dyDescent="0.2">
      <c r="A1702" t="s">
        <v>507</v>
      </c>
      <c r="B1702" t="s">
        <v>209</v>
      </c>
      <c r="C1702">
        <v>14.078004860583651</v>
      </c>
      <c r="D1702">
        <v>45.612735748291023</v>
      </c>
      <c r="E1702">
        <v>52.444648742675781</v>
      </c>
      <c r="F1702">
        <f>(Table[[#This Row],[price_lag]] - Table[[#This Row],[price]]) / Table[[#This Row],[price]]</f>
        <v>0.14978082069196497</v>
      </c>
    </row>
    <row r="1703" spans="1:6" hidden="1" x14ac:dyDescent="0.2">
      <c r="A1703" t="s">
        <v>507</v>
      </c>
      <c r="B1703" t="s">
        <v>210</v>
      </c>
      <c r="C1703">
        <v>16.361361536486399</v>
      </c>
      <c r="D1703">
        <v>18.979179382324219</v>
      </c>
      <c r="E1703">
        <v>18.474164962768551</v>
      </c>
      <c r="F1703">
        <f>(Table[[#This Row],[price_lag]] - Table[[#This Row],[price]]) / Table[[#This Row],[price]]</f>
        <v>-2.6608864871470687E-2</v>
      </c>
    </row>
    <row r="1704" spans="1:6" hidden="1" x14ac:dyDescent="0.2">
      <c r="A1704" t="s">
        <v>507</v>
      </c>
      <c r="B1704" t="s">
        <v>211</v>
      </c>
      <c r="C1704">
        <v>49.15630579538643</v>
      </c>
      <c r="D1704">
        <v>37.493480682373047</v>
      </c>
      <c r="E1704">
        <v>37.340522766113281</v>
      </c>
      <c r="F1704">
        <f>(Table[[#This Row],[price_lag]] - Table[[#This Row],[price]]) / Table[[#This Row],[price]]</f>
        <v>-4.0795869968849362E-3</v>
      </c>
    </row>
    <row r="1705" spans="1:6" hidden="1" x14ac:dyDescent="0.2">
      <c r="A1705" t="s">
        <v>507</v>
      </c>
      <c r="B1705" t="s">
        <v>212</v>
      </c>
      <c r="C1705">
        <v>22.48341228468303</v>
      </c>
      <c r="D1705">
        <v>204.1493835449219</v>
      </c>
      <c r="E1705">
        <v>214.43321228027341</v>
      </c>
      <c r="F1705">
        <f>(Table[[#This Row],[price_lag]] - Table[[#This Row],[price]]) / Table[[#This Row],[price]]</f>
        <v>5.0374037661929105E-2</v>
      </c>
    </row>
    <row r="1706" spans="1:6" hidden="1" x14ac:dyDescent="0.2">
      <c r="A1706" t="s">
        <v>507</v>
      </c>
      <c r="B1706" t="s">
        <v>213</v>
      </c>
      <c r="C1706">
        <v>23.611381916684401</v>
      </c>
      <c r="D1706">
        <v>485.45001220703119</v>
      </c>
      <c r="E1706">
        <v>419.739990234375</v>
      </c>
      <c r="F1706">
        <f>(Table[[#This Row],[price_lag]] - Table[[#This Row],[price]]) / Table[[#This Row],[price]]</f>
        <v>-0.13535898716721562</v>
      </c>
    </row>
    <row r="1707" spans="1:6" hidden="1" x14ac:dyDescent="0.2">
      <c r="A1707" t="s">
        <v>507</v>
      </c>
      <c r="B1707" t="s">
        <v>214</v>
      </c>
      <c r="C1707">
        <v>23.742545734752309</v>
      </c>
      <c r="D1707">
        <v>167.14752197265619</v>
      </c>
      <c r="E1707">
        <v>199.3861999511719</v>
      </c>
      <c r="F1707">
        <f>(Table[[#This Row],[price_lag]] - Table[[#This Row],[price]]) / Table[[#This Row],[price]]</f>
        <v>0.19287559634769616</v>
      </c>
    </row>
    <row r="1708" spans="1:6" hidden="1" x14ac:dyDescent="0.2">
      <c r="A1708" t="s">
        <v>507</v>
      </c>
      <c r="B1708" t="s">
        <v>215</v>
      </c>
      <c r="C1708">
        <v>12.40890237349498</v>
      </c>
      <c r="D1708">
        <v>78.424263000488281</v>
      </c>
      <c r="E1708">
        <v>80.562591552734375</v>
      </c>
      <c r="F1708">
        <f>(Table[[#This Row],[price_lag]] - Table[[#This Row],[price]]) / Table[[#This Row],[price]]</f>
        <v>2.7266160629814018E-2</v>
      </c>
    </row>
    <row r="1709" spans="1:6" hidden="1" x14ac:dyDescent="0.2">
      <c r="A1709" t="s">
        <v>507</v>
      </c>
      <c r="B1709" t="s">
        <v>216</v>
      </c>
      <c r="C1709">
        <v>47.06925310407366</v>
      </c>
      <c r="D1709">
        <v>329.48477172851562</v>
      </c>
      <c r="E1709">
        <v>304.56338500976562</v>
      </c>
      <c r="F1709">
        <f>(Table[[#This Row],[price_lag]] - Table[[#This Row],[price]]) / Table[[#This Row],[price]]</f>
        <v>-7.5637446271065861E-2</v>
      </c>
    </row>
    <row r="1710" spans="1:6" hidden="1" x14ac:dyDescent="0.2">
      <c r="A1710" t="s">
        <v>507</v>
      </c>
      <c r="B1710" t="s">
        <v>217</v>
      </c>
      <c r="C1710">
        <v>25.870418548583981</v>
      </c>
      <c r="D1710">
        <v>26.90523529052734</v>
      </c>
      <c r="E1710">
        <v>26.19666862487793</v>
      </c>
      <c r="F1710">
        <f>(Table[[#This Row],[price_lag]] - Table[[#This Row],[price]]) / Table[[#This Row],[price]]</f>
        <v>-2.6335642784691762E-2</v>
      </c>
    </row>
    <row r="1711" spans="1:6" hidden="1" x14ac:dyDescent="0.2">
      <c r="A1711" t="s">
        <v>507</v>
      </c>
      <c r="B1711" t="s">
        <v>218</v>
      </c>
      <c r="C1711">
        <v>17.745413473986702</v>
      </c>
      <c r="D1711">
        <v>154.74000549316409</v>
      </c>
      <c r="E1711">
        <v>126.65000152587891</v>
      </c>
      <c r="F1711">
        <f>(Table[[#This Row],[price_lag]] - Table[[#This Row],[price]]) / Table[[#This Row],[price]]</f>
        <v>-0.18153032809945266</v>
      </c>
    </row>
    <row r="1712" spans="1:6" hidden="1" x14ac:dyDescent="0.2">
      <c r="A1712" t="s">
        <v>507</v>
      </c>
      <c r="B1712" t="s">
        <v>219</v>
      </c>
      <c r="C1712">
        <v>15.299350193568641</v>
      </c>
      <c r="D1712">
        <v>257.02908325195312</v>
      </c>
      <c r="E1712">
        <v>267.41973876953119</v>
      </c>
      <c r="F1712">
        <f>(Table[[#This Row],[price_lag]] - Table[[#This Row],[price]]) / Table[[#This Row],[price]]</f>
        <v>4.0425991433010768E-2</v>
      </c>
    </row>
    <row r="1713" spans="1:6" hidden="1" x14ac:dyDescent="0.2">
      <c r="A1713" t="s">
        <v>507</v>
      </c>
      <c r="B1713" t="s">
        <v>220</v>
      </c>
      <c r="C1713">
        <v>10.446834564208981</v>
      </c>
      <c r="D1713">
        <v>59.755893707275391</v>
      </c>
      <c r="E1713">
        <v>56.940414428710938</v>
      </c>
      <c r="F1713">
        <f>(Table[[#This Row],[price_lag]] - Table[[#This Row],[price]]) / Table[[#This Row],[price]]</f>
        <v>-4.7116344579441263E-2</v>
      </c>
    </row>
    <row r="1714" spans="1:6" hidden="1" x14ac:dyDescent="0.2">
      <c r="A1714" t="s">
        <v>507</v>
      </c>
      <c r="B1714" t="s">
        <v>221</v>
      </c>
      <c r="C1714">
        <v>8.2341098046117978</v>
      </c>
      <c r="D1714">
        <v>53.110008239746087</v>
      </c>
      <c r="E1714">
        <v>46.666606903076172</v>
      </c>
      <c r="F1714">
        <f>(Table[[#This Row],[price_lag]] - Table[[#This Row],[price]]) / Table[[#This Row],[price]]</f>
        <v>-0.12132179132007455</v>
      </c>
    </row>
    <row r="1715" spans="1:6" hidden="1" x14ac:dyDescent="0.2">
      <c r="A1715" t="s">
        <v>507</v>
      </c>
      <c r="B1715" t="s">
        <v>222</v>
      </c>
      <c r="C1715">
        <v>29.221399625142421</v>
      </c>
      <c r="D1715">
        <v>112.2101745605469</v>
      </c>
      <c r="E1715">
        <v>116.37856292724609</v>
      </c>
      <c r="F1715">
        <f>(Table[[#This Row],[price_lag]] - Table[[#This Row],[price]]) / Table[[#This Row],[price]]</f>
        <v>3.7148042795798267E-2</v>
      </c>
    </row>
    <row r="1716" spans="1:6" hidden="1" x14ac:dyDescent="0.2">
      <c r="A1716" t="s">
        <v>507</v>
      </c>
      <c r="B1716" t="s">
        <v>223</v>
      </c>
      <c r="C1716">
        <v>15.648196293757509</v>
      </c>
      <c r="D1716">
        <v>89.507682800292969</v>
      </c>
      <c r="E1716">
        <v>109.7677001953125</v>
      </c>
      <c r="F1716">
        <f>(Table[[#This Row],[price_lag]] - Table[[#This Row],[price]]) / Table[[#This Row],[price]]</f>
        <v>0.22634947929802979</v>
      </c>
    </row>
    <row r="1717" spans="1:6" hidden="1" x14ac:dyDescent="0.2">
      <c r="A1717" t="s">
        <v>507</v>
      </c>
      <c r="B1717" t="s">
        <v>224</v>
      </c>
      <c r="C1717">
        <v>12.115420282414529</v>
      </c>
      <c r="D1717">
        <v>109.5233993530273</v>
      </c>
      <c r="E1717">
        <v>97.02874755859375</v>
      </c>
      <c r="F1717">
        <f>(Table[[#This Row],[price_lag]] - Table[[#This Row],[price]]) / Table[[#This Row],[price]]</f>
        <v>-0.11408203058197162</v>
      </c>
    </row>
    <row r="1718" spans="1:6" hidden="1" x14ac:dyDescent="0.2">
      <c r="A1718" t="s">
        <v>507</v>
      </c>
      <c r="B1718" t="s">
        <v>225</v>
      </c>
      <c r="C1718">
        <v>8.9490790116159538</v>
      </c>
      <c r="D1718">
        <v>108.82080078125</v>
      </c>
      <c r="E1718">
        <v>130.64842224121091</v>
      </c>
      <c r="F1718">
        <f>(Table[[#This Row],[price_lag]] - Table[[#This Row],[price]]) / Table[[#This Row],[price]]</f>
        <v>0.20058317254840349</v>
      </c>
    </row>
    <row r="1719" spans="1:6" hidden="1" x14ac:dyDescent="0.2">
      <c r="A1719" t="s">
        <v>507</v>
      </c>
      <c r="B1719" t="s">
        <v>226</v>
      </c>
      <c r="C1719">
        <v>35.616070883614682</v>
      </c>
      <c r="D1719">
        <v>199.44999694824219</v>
      </c>
      <c r="E1719">
        <v>180.13999938964841</v>
      </c>
      <c r="F1719">
        <f>(Table[[#This Row],[price_lag]] - Table[[#This Row],[price]]) / Table[[#This Row],[price]]</f>
        <v>-9.6816233913529587E-2</v>
      </c>
    </row>
    <row r="1720" spans="1:6" hidden="1" x14ac:dyDescent="0.2">
      <c r="A1720" t="s">
        <v>507</v>
      </c>
      <c r="B1720" t="s">
        <v>227</v>
      </c>
      <c r="C1720">
        <v>11.584480203878551</v>
      </c>
      <c r="D1720">
        <v>562.0789794921875</v>
      </c>
      <c r="E1720">
        <v>538.01885986328125</v>
      </c>
      <c r="F1720">
        <f>(Table[[#This Row],[price_lag]] - Table[[#This Row],[price]]) / Table[[#This Row],[price]]</f>
        <v>-4.2805585169976401E-2</v>
      </c>
    </row>
    <row r="1721" spans="1:6" hidden="1" x14ac:dyDescent="0.2">
      <c r="A1721" t="s">
        <v>507</v>
      </c>
      <c r="B1721" t="s">
        <v>228</v>
      </c>
      <c r="C1721">
        <v>9.3507521493094305</v>
      </c>
      <c r="D1721">
        <v>26.18210601806641</v>
      </c>
      <c r="E1721">
        <v>24.812648773193359</v>
      </c>
      <c r="F1721">
        <f>(Table[[#This Row],[price_lag]] - Table[[#This Row],[price]]) / Table[[#This Row],[price]]</f>
        <v>-5.2305083629563084E-2</v>
      </c>
    </row>
    <row r="1722" spans="1:6" hidden="1" x14ac:dyDescent="0.2">
      <c r="A1722" t="s">
        <v>507</v>
      </c>
      <c r="B1722" t="s">
        <v>229</v>
      </c>
      <c r="C1722">
        <v>9.1685571768178065</v>
      </c>
      <c r="D1722">
        <v>107.4554901123047</v>
      </c>
      <c r="E1722">
        <v>122.21266937255859</v>
      </c>
      <c r="F1722">
        <f>(Table[[#This Row],[price_lag]] - Table[[#This Row],[price]]) / Table[[#This Row],[price]]</f>
        <v>0.13733294822657044</v>
      </c>
    </row>
    <row r="1723" spans="1:6" hidden="1" x14ac:dyDescent="0.2">
      <c r="A1723" t="s">
        <v>507</v>
      </c>
      <c r="B1723" t="s">
        <v>230</v>
      </c>
      <c r="C1723">
        <v>0</v>
      </c>
      <c r="D1723">
        <v>53.571990966796882</v>
      </c>
      <c r="E1723">
        <v>59.772792816162109</v>
      </c>
      <c r="F1723">
        <f>(Table[[#This Row],[price_lag]] - Table[[#This Row],[price]]) / Table[[#This Row],[price]]</f>
        <v>0.11574708606981569</v>
      </c>
    </row>
    <row r="1724" spans="1:6" hidden="1" x14ac:dyDescent="0.2">
      <c r="A1724" t="s">
        <v>507</v>
      </c>
      <c r="B1724" t="s">
        <v>231</v>
      </c>
      <c r="C1724">
        <v>12.872759395168661</v>
      </c>
      <c r="D1724">
        <v>296.198486328125</v>
      </c>
      <c r="E1724">
        <v>343.75250244140619</v>
      </c>
      <c r="F1724">
        <f>(Table[[#This Row],[price_lag]] - Table[[#This Row],[price]]) / Table[[#This Row],[price]]</f>
        <v>0.16054780259950904</v>
      </c>
    </row>
    <row r="1725" spans="1:6" hidden="1" x14ac:dyDescent="0.2">
      <c r="A1725" t="s">
        <v>507</v>
      </c>
      <c r="B1725" t="s">
        <v>232</v>
      </c>
      <c r="C1725">
        <v>464.33649063110352</v>
      </c>
      <c r="D1725">
        <v>18.573459625244141</v>
      </c>
      <c r="E1725">
        <v>19.088239669799801</v>
      </c>
      <c r="F1725">
        <f>(Table[[#This Row],[price_lag]] - Table[[#This Row],[price]]) / Table[[#This Row],[price]]</f>
        <v>2.7715894342914799E-2</v>
      </c>
    </row>
    <row r="1726" spans="1:6" hidden="1" x14ac:dyDescent="0.2">
      <c r="A1726" t="s">
        <v>507</v>
      </c>
      <c r="B1726" t="s">
        <v>233</v>
      </c>
      <c r="C1726">
        <v>23.056666056315109</v>
      </c>
      <c r="D1726">
        <v>69.169998168945312</v>
      </c>
      <c r="E1726">
        <v>68.489997863769531</v>
      </c>
      <c r="F1726">
        <f>(Table[[#This Row],[price_lag]] - Table[[#This Row],[price]]) / Table[[#This Row],[price]]</f>
        <v>-9.8308561974355443E-3</v>
      </c>
    </row>
    <row r="1727" spans="1:6" hidden="1" x14ac:dyDescent="0.2">
      <c r="A1727" t="s">
        <v>507</v>
      </c>
      <c r="B1727" t="s">
        <v>234</v>
      </c>
      <c r="C1727">
        <v>10.13119415964737</v>
      </c>
      <c r="D1727">
        <v>163.3148498535156</v>
      </c>
      <c r="E1727">
        <v>167.02284240722659</v>
      </c>
      <c r="F1727">
        <f>(Table[[#This Row],[price_lag]] - Table[[#This Row],[price]]) / Table[[#This Row],[price]]</f>
        <v>2.2704564569828518E-2</v>
      </c>
    </row>
    <row r="1728" spans="1:6" hidden="1" x14ac:dyDescent="0.2">
      <c r="A1728" t="s">
        <v>507</v>
      </c>
      <c r="B1728" t="s">
        <v>235</v>
      </c>
      <c r="C1728">
        <v>11.576836903889969</v>
      </c>
      <c r="D1728">
        <v>20.83830642700195</v>
      </c>
      <c r="E1728">
        <v>15.146321296691889</v>
      </c>
      <c r="F1728">
        <f>(Table[[#This Row],[price_lag]] - Table[[#This Row],[price]]) / Table[[#This Row],[price]]</f>
        <v>-0.27315008300935989</v>
      </c>
    </row>
    <row r="1729" spans="1:6" hidden="1" x14ac:dyDescent="0.2">
      <c r="A1729" t="s">
        <v>507</v>
      </c>
      <c r="B1729" t="s">
        <v>236</v>
      </c>
      <c r="C1729">
        <v>29.763812285203201</v>
      </c>
      <c r="D1729">
        <v>247.6349182128906</v>
      </c>
      <c r="E1729">
        <v>227.1591796875</v>
      </c>
      <c r="F1729">
        <f>(Table[[#This Row],[price_lag]] - Table[[#This Row],[price]]) / Table[[#This Row],[price]]</f>
        <v>-8.2685182982909139E-2</v>
      </c>
    </row>
    <row r="1730" spans="1:6" hidden="1" x14ac:dyDescent="0.2">
      <c r="A1730" t="s">
        <v>507</v>
      </c>
      <c r="B1730" t="s">
        <v>237</v>
      </c>
      <c r="C1730">
        <v>20.767240414674259</v>
      </c>
      <c r="D1730">
        <v>72.269996643066406</v>
      </c>
      <c r="E1730">
        <v>61.770000457763672</v>
      </c>
      <c r="F1730">
        <f>(Table[[#This Row],[price_lag]] - Table[[#This Row],[price]]) / Table[[#This Row],[price]]</f>
        <v>-0.14528845541755128</v>
      </c>
    </row>
    <row r="1731" spans="1:6" hidden="1" x14ac:dyDescent="0.2">
      <c r="A1731" t="s">
        <v>507</v>
      </c>
      <c r="B1731" t="s">
        <v>238</v>
      </c>
      <c r="C1731">
        <v>31.45340925810353</v>
      </c>
      <c r="D1731">
        <v>379.95718383789062</v>
      </c>
      <c r="E1731">
        <v>359.84439086914062</v>
      </c>
      <c r="F1731">
        <f>(Table[[#This Row],[price_lag]] - Table[[#This Row],[price]]) / Table[[#This Row],[price]]</f>
        <v>-5.2934366882062052E-2</v>
      </c>
    </row>
    <row r="1732" spans="1:6" hidden="1" x14ac:dyDescent="0.2">
      <c r="A1732" t="s">
        <v>507</v>
      </c>
      <c r="B1732" t="s">
        <v>239</v>
      </c>
      <c r="C1732">
        <v>26.390006325461648</v>
      </c>
      <c r="D1732">
        <v>209.00885009765619</v>
      </c>
      <c r="E1732">
        <v>196.35694885253909</v>
      </c>
      <c r="F1732">
        <f>(Table[[#This Row],[price_lag]] - Table[[#This Row],[price]]) / Table[[#This Row],[price]]</f>
        <v>-6.0532849394682064E-2</v>
      </c>
    </row>
    <row r="1733" spans="1:6" hidden="1" x14ac:dyDescent="0.2">
      <c r="A1733" t="s">
        <v>507</v>
      </c>
      <c r="B1733" t="s">
        <v>240</v>
      </c>
      <c r="C1733">
        <v>23.839907492360759</v>
      </c>
      <c r="D1733">
        <v>29.56148529052734</v>
      </c>
      <c r="E1733">
        <v>29.60080718994141</v>
      </c>
      <c r="F1733">
        <f>(Table[[#This Row],[price_lag]] - Table[[#This Row],[price]]) / Table[[#This Row],[price]]</f>
        <v>1.3301733328896666E-3</v>
      </c>
    </row>
    <row r="1734" spans="1:6" hidden="1" x14ac:dyDescent="0.2">
      <c r="A1734" t="s">
        <v>507</v>
      </c>
      <c r="B1734" t="s">
        <v>241</v>
      </c>
      <c r="C1734">
        <v>27.498582204182949</v>
      </c>
      <c r="D1734">
        <v>16.499149322509769</v>
      </c>
      <c r="E1734">
        <v>13.603293418884279</v>
      </c>
      <c r="F1734">
        <f>(Table[[#This Row],[price_lag]] - Table[[#This Row],[price]]) / Table[[#This Row],[price]]</f>
        <v>-0.17551546731410433</v>
      </c>
    </row>
    <row r="1735" spans="1:6" hidden="1" x14ac:dyDescent="0.2">
      <c r="A1735" t="s">
        <v>507</v>
      </c>
      <c r="B1735" t="s">
        <v>242</v>
      </c>
      <c r="C1735">
        <v>35.710255511395339</v>
      </c>
      <c r="D1735">
        <v>109.9875869750977</v>
      </c>
      <c r="E1735">
        <v>129.48637390136719</v>
      </c>
      <c r="F1735">
        <f>(Table[[#This Row],[price_lag]] - Table[[#This Row],[price]]) / Table[[#This Row],[price]]</f>
        <v>0.17728170480441771</v>
      </c>
    </row>
    <row r="1736" spans="1:6" hidden="1" x14ac:dyDescent="0.2">
      <c r="A1736" t="s">
        <v>507</v>
      </c>
      <c r="B1736" t="s">
        <v>243</v>
      </c>
      <c r="C1736">
        <v>13.018902937571211</v>
      </c>
      <c r="D1736">
        <v>31.245367050170898</v>
      </c>
      <c r="E1736">
        <v>26.785469055175781</v>
      </c>
      <c r="F1736">
        <f>(Table[[#This Row],[price_lag]] - Table[[#This Row],[price]]) / Table[[#This Row],[price]]</f>
        <v>-0.14273789736039358</v>
      </c>
    </row>
    <row r="1737" spans="1:6" hidden="1" x14ac:dyDescent="0.2">
      <c r="A1737" t="s">
        <v>507</v>
      </c>
      <c r="B1737" t="s">
        <v>244</v>
      </c>
      <c r="C1737">
        <v>28.257805662728401</v>
      </c>
      <c r="D1737">
        <v>413.69427490234381</v>
      </c>
      <c r="E1737">
        <v>327.74322509765619</v>
      </c>
      <c r="F1737">
        <f>(Table[[#This Row],[price_lag]] - Table[[#This Row],[price]]) / Table[[#This Row],[price]]</f>
        <v>-0.20776465863584193</v>
      </c>
    </row>
    <row r="1738" spans="1:6" hidden="1" x14ac:dyDescent="0.2">
      <c r="A1738" t="s">
        <v>507</v>
      </c>
      <c r="B1738" t="s">
        <v>245</v>
      </c>
      <c r="C1738">
        <v>0</v>
      </c>
      <c r="D1738">
        <v>249.88287353515619</v>
      </c>
      <c r="E1738">
        <v>261.81008911132812</v>
      </c>
      <c r="F1738">
        <f>(Table[[#This Row],[price_lag]] - Table[[#This Row],[price]]) / Table[[#This Row],[price]]</f>
        <v>4.7731224663117557E-2</v>
      </c>
    </row>
    <row r="1739" spans="1:6" hidden="1" x14ac:dyDescent="0.2">
      <c r="A1739" t="s">
        <v>507</v>
      </c>
      <c r="B1739" t="s">
        <v>246</v>
      </c>
      <c r="C1739">
        <v>11.55868558322682</v>
      </c>
      <c r="D1739">
        <v>15.71981239318848</v>
      </c>
      <c r="E1739">
        <v>14.60102462768555</v>
      </c>
      <c r="F1739">
        <f>(Table[[#This Row],[price_lag]] - Table[[#This Row],[price]]) / Table[[#This Row],[price]]</f>
        <v>-7.1170554553673257E-2</v>
      </c>
    </row>
    <row r="1740" spans="1:6" hidden="1" x14ac:dyDescent="0.2">
      <c r="A1740" t="s">
        <v>507</v>
      </c>
      <c r="B1740" t="s">
        <v>247</v>
      </c>
      <c r="C1740">
        <v>14.611034090556799</v>
      </c>
      <c r="D1740">
        <v>184.0990295410156</v>
      </c>
      <c r="E1740">
        <v>200.92781066894531</v>
      </c>
      <c r="F1740">
        <f>(Table[[#This Row],[price_lag]] - Table[[#This Row],[price]]) / Table[[#This Row],[price]]</f>
        <v>9.1411568925084508E-2</v>
      </c>
    </row>
    <row r="1741" spans="1:6" hidden="1" x14ac:dyDescent="0.2">
      <c r="A1741" t="s">
        <v>507</v>
      </c>
      <c r="B1741" t="s">
        <v>248</v>
      </c>
      <c r="C1741">
        <v>17.039889381045391</v>
      </c>
      <c r="D1741">
        <v>214.7026062011719</v>
      </c>
      <c r="E1741">
        <v>244.01194763183591</v>
      </c>
      <c r="F1741">
        <f>(Table[[#This Row],[price_lag]] - Table[[#This Row],[price]]) / Table[[#This Row],[price]]</f>
        <v>0.13651134445569682</v>
      </c>
    </row>
    <row r="1742" spans="1:6" hidden="1" x14ac:dyDescent="0.2">
      <c r="A1742" t="s">
        <v>507</v>
      </c>
      <c r="B1742" t="s">
        <v>249</v>
      </c>
      <c r="C1742">
        <v>31.63054901876567</v>
      </c>
      <c r="D1742">
        <v>204.96595764160159</v>
      </c>
      <c r="E1742">
        <v>178.18733215332031</v>
      </c>
      <c r="F1742">
        <f>(Table[[#This Row],[price_lag]] - Table[[#This Row],[price]]) / Table[[#This Row],[price]]</f>
        <v>-0.13064913703916492</v>
      </c>
    </row>
    <row r="1743" spans="1:6" hidden="1" x14ac:dyDescent="0.2">
      <c r="A1743" t="s">
        <v>507</v>
      </c>
      <c r="B1743" t="s">
        <v>250</v>
      </c>
      <c r="C1743">
        <v>39.086174242424242</v>
      </c>
      <c r="D1743">
        <v>412.75</v>
      </c>
      <c r="E1743">
        <v>419.95001220703119</v>
      </c>
      <c r="F1743">
        <f>(Table[[#This Row],[price_lag]] - Table[[#This Row],[price]]) / Table[[#This Row],[price]]</f>
        <v>1.7444002924363884E-2</v>
      </c>
    </row>
    <row r="1744" spans="1:6" hidden="1" x14ac:dyDescent="0.2">
      <c r="A1744" t="s">
        <v>507</v>
      </c>
      <c r="B1744" t="s">
        <v>251</v>
      </c>
      <c r="C1744">
        <v>24.22819848154106</v>
      </c>
      <c r="D1744">
        <v>247.12762451171881</v>
      </c>
      <c r="E1744">
        <v>243.4193420410156</v>
      </c>
      <c r="F1744">
        <f>(Table[[#This Row],[price_lag]] - Table[[#This Row],[price]]) / Table[[#This Row],[price]]</f>
        <v>-1.5005536018201654E-2</v>
      </c>
    </row>
    <row r="1745" spans="1:6" hidden="1" x14ac:dyDescent="0.2">
      <c r="A1745" t="s">
        <v>507</v>
      </c>
      <c r="B1745" t="s">
        <v>252</v>
      </c>
      <c r="C1745">
        <v>16.447114944458011</v>
      </c>
      <c r="D1745">
        <v>68.419998168945312</v>
      </c>
      <c r="E1745">
        <v>60.549999237060547</v>
      </c>
      <c r="F1745">
        <f>(Table[[#This Row],[price_lag]] - Table[[#This Row],[price]]) / Table[[#This Row],[price]]</f>
        <v>-0.11502483400323775</v>
      </c>
    </row>
    <row r="1746" spans="1:6" hidden="1" x14ac:dyDescent="0.2">
      <c r="A1746" t="s">
        <v>507</v>
      </c>
      <c r="B1746" t="s">
        <v>253</v>
      </c>
      <c r="C1746">
        <v>39.662428069532957</v>
      </c>
      <c r="D1746">
        <v>90.430335998535156</v>
      </c>
      <c r="E1746">
        <v>79.970367431640625</v>
      </c>
      <c r="F1746">
        <f>(Table[[#This Row],[price_lag]] - Table[[#This Row],[price]]) / Table[[#This Row],[price]]</f>
        <v>-0.11566880130871092</v>
      </c>
    </row>
    <row r="1747" spans="1:6" hidden="1" x14ac:dyDescent="0.2">
      <c r="A1747" t="s">
        <v>507</v>
      </c>
      <c r="B1747" t="s">
        <v>254</v>
      </c>
      <c r="C1747">
        <v>45.722219679090713</v>
      </c>
      <c r="D1747">
        <v>263.3599853515625</v>
      </c>
      <c r="E1747">
        <v>262.6099853515625</v>
      </c>
      <c r="F1747">
        <f>(Table[[#This Row],[price_lag]] - Table[[#This Row],[price]]) / Table[[#This Row],[price]]</f>
        <v>-2.8478130381075764E-3</v>
      </c>
    </row>
    <row r="1748" spans="1:6" hidden="1" x14ac:dyDescent="0.2">
      <c r="A1748" t="s">
        <v>507</v>
      </c>
      <c r="B1748" t="s">
        <v>255</v>
      </c>
      <c r="C1748">
        <v>0</v>
      </c>
      <c r="D1748">
        <v>19.819999694824219</v>
      </c>
      <c r="E1748">
        <v>22.70999908447266</v>
      </c>
      <c r="F1748">
        <f>(Table[[#This Row],[price_lag]] - Table[[#This Row],[price]]) / Table[[#This Row],[price]]</f>
        <v>0.14581228224756904</v>
      </c>
    </row>
    <row r="1749" spans="1:6" hidden="1" x14ac:dyDescent="0.2">
      <c r="A1749" t="s">
        <v>507</v>
      </c>
      <c r="B1749" t="s">
        <v>256</v>
      </c>
      <c r="C1749">
        <v>30.265789344662529</v>
      </c>
      <c r="D1749">
        <v>147.6970520019531</v>
      </c>
      <c r="E1749">
        <v>171.04795837402341</v>
      </c>
      <c r="F1749">
        <f>(Table[[#This Row],[price_lag]] - Table[[#This Row],[price]]) / Table[[#This Row],[price]]</f>
        <v>0.15810001659181069</v>
      </c>
    </row>
    <row r="1750" spans="1:6" hidden="1" x14ac:dyDescent="0.2">
      <c r="A1750" t="s">
        <v>507</v>
      </c>
      <c r="B1750" t="s">
        <v>257</v>
      </c>
      <c r="C1750">
        <v>0</v>
      </c>
      <c r="D1750">
        <v>82.04046630859375</v>
      </c>
      <c r="E1750">
        <v>76.217971801757812</v>
      </c>
      <c r="F1750">
        <f>(Table[[#This Row],[price_lag]] - Table[[#This Row],[price]]) / Table[[#This Row],[price]]</f>
        <v>-7.0971006977638668E-2</v>
      </c>
    </row>
    <row r="1751" spans="1:6" hidden="1" x14ac:dyDescent="0.2">
      <c r="A1751" t="s">
        <v>507</v>
      </c>
      <c r="B1751" t="s">
        <v>258</v>
      </c>
      <c r="C1751">
        <v>0</v>
      </c>
      <c r="D1751">
        <v>51.547836303710938</v>
      </c>
      <c r="E1751">
        <v>51.690345764160163</v>
      </c>
      <c r="F1751">
        <f>(Table[[#This Row],[price_lag]] - Table[[#This Row],[price]]) / Table[[#This Row],[price]]</f>
        <v>2.7646060565876085E-3</v>
      </c>
    </row>
    <row r="1752" spans="1:6" hidden="1" x14ac:dyDescent="0.2">
      <c r="A1752" t="s">
        <v>507</v>
      </c>
      <c r="B1752" t="s">
        <v>259</v>
      </c>
      <c r="C1752">
        <v>93.007659912109375</v>
      </c>
      <c r="D1752">
        <v>625.011474609375</v>
      </c>
      <c r="E1752">
        <v>609.85137939453125</v>
      </c>
      <c r="F1752">
        <f>(Table[[#This Row],[price_lag]] - Table[[#This Row],[price]]) / Table[[#This Row],[price]]</f>
        <v>-2.4255707024128853E-2</v>
      </c>
    </row>
    <row r="1753" spans="1:6" hidden="1" x14ac:dyDescent="0.2">
      <c r="A1753" t="s">
        <v>507</v>
      </c>
      <c r="B1753" t="s">
        <v>260</v>
      </c>
      <c r="C1753">
        <v>68.614586194356292</v>
      </c>
      <c r="D1753">
        <v>526.96002197265625</v>
      </c>
      <c r="E1753">
        <v>495.26998901367188</v>
      </c>
      <c r="F1753">
        <f>(Table[[#This Row],[price_lag]] - Table[[#This Row],[price]]) / Table[[#This Row],[price]]</f>
        <v>-6.0137451870359834E-2</v>
      </c>
    </row>
    <row r="1754" spans="1:6" hidden="1" x14ac:dyDescent="0.2">
      <c r="A1754" t="s">
        <v>507</v>
      </c>
      <c r="B1754" t="s">
        <v>261</v>
      </c>
      <c r="C1754">
        <v>9.0973988823268712</v>
      </c>
      <c r="D1754">
        <v>16.739213943481449</v>
      </c>
      <c r="E1754">
        <v>14.69060611724854</v>
      </c>
      <c r="F1754">
        <f>(Table[[#This Row],[price_lag]] - Table[[#This Row],[price]]) / Table[[#This Row],[price]]</f>
        <v>-0.12238375309317755</v>
      </c>
    </row>
    <row r="1755" spans="1:6" hidden="1" x14ac:dyDescent="0.2">
      <c r="A1755" t="s">
        <v>507</v>
      </c>
      <c r="B1755" t="s">
        <v>262</v>
      </c>
      <c r="C1755">
        <v>33.297045334525727</v>
      </c>
      <c r="D1755">
        <v>30.633281707763668</v>
      </c>
      <c r="E1755">
        <v>33.825141906738281</v>
      </c>
      <c r="F1755">
        <f>(Table[[#This Row],[price_lag]] - Table[[#This Row],[price]]) / Table[[#This Row],[price]]</f>
        <v>0.10419582953679007</v>
      </c>
    </row>
    <row r="1756" spans="1:6" hidden="1" x14ac:dyDescent="0.2">
      <c r="A1756" t="s">
        <v>507</v>
      </c>
      <c r="B1756" t="s">
        <v>263</v>
      </c>
      <c r="C1756">
        <v>20.230532474205141</v>
      </c>
      <c r="D1756">
        <v>197.44999694824219</v>
      </c>
      <c r="E1756">
        <v>176.30000305175781</v>
      </c>
      <c r="F1756">
        <f>(Table[[#This Row],[price_lag]] - Table[[#This Row],[price]]) / Table[[#This Row],[price]]</f>
        <v>-0.10711569624398855</v>
      </c>
    </row>
    <row r="1757" spans="1:6" hidden="1" x14ac:dyDescent="0.2">
      <c r="A1757" t="s">
        <v>507</v>
      </c>
      <c r="B1757" t="s">
        <v>264</v>
      </c>
      <c r="C1757">
        <v>71.485917227608823</v>
      </c>
      <c r="D1757">
        <v>100.0802841186523</v>
      </c>
      <c r="E1757">
        <v>83.804214477539062</v>
      </c>
      <c r="F1757">
        <f>(Table[[#This Row],[price_lag]] - Table[[#This Row],[price]]) / Table[[#This Row],[price]]</f>
        <v>-0.16263013024440257</v>
      </c>
    </row>
    <row r="1758" spans="1:6" hidden="1" x14ac:dyDescent="0.2">
      <c r="A1758" t="s">
        <v>507</v>
      </c>
      <c r="B1758" t="s">
        <v>265</v>
      </c>
      <c r="C1758">
        <v>27.22785520366735</v>
      </c>
      <c r="D1758">
        <v>168.37248229980469</v>
      </c>
      <c r="E1758">
        <v>146.63139343261719</v>
      </c>
      <c r="F1758">
        <f>(Table[[#This Row],[price_lag]] - Table[[#This Row],[price]]) / Table[[#This Row],[price]]</f>
        <v>-0.12912495302216448</v>
      </c>
    </row>
    <row r="1759" spans="1:6" hidden="1" x14ac:dyDescent="0.2">
      <c r="A1759" t="s">
        <v>507</v>
      </c>
      <c r="B1759" t="s">
        <v>266</v>
      </c>
      <c r="C1759">
        <v>40.312794888957157</v>
      </c>
      <c r="D1759">
        <v>143.5135498046875</v>
      </c>
      <c r="E1759">
        <v>135.90083312988281</v>
      </c>
      <c r="F1759">
        <f>(Table[[#This Row],[price_lag]] - Table[[#This Row],[price]]) / Table[[#This Row],[price]]</f>
        <v>-5.3045281683611716E-2</v>
      </c>
    </row>
    <row r="1760" spans="1:6" hidden="1" x14ac:dyDescent="0.2">
      <c r="A1760" t="s">
        <v>507</v>
      </c>
      <c r="B1760" t="s">
        <v>267</v>
      </c>
      <c r="C1760">
        <v>32.176637788762861</v>
      </c>
      <c r="D1760">
        <v>172.75212097167969</v>
      </c>
      <c r="E1760">
        <v>180.7623596191406</v>
      </c>
      <c r="F1760">
        <f>(Table[[#This Row],[price_lag]] - Table[[#This Row],[price]]) / Table[[#This Row],[price]]</f>
        <v>4.6368395377177893E-2</v>
      </c>
    </row>
    <row r="1761" spans="1:6" hidden="1" x14ac:dyDescent="0.2">
      <c r="A1761" t="s">
        <v>507</v>
      </c>
      <c r="B1761" t="s">
        <v>268</v>
      </c>
      <c r="C1761">
        <v>0</v>
      </c>
      <c r="D1761">
        <v>130.91864013671881</v>
      </c>
      <c r="E1761">
        <v>118.8447189331055</v>
      </c>
      <c r="F1761">
        <f>(Table[[#This Row],[price_lag]] - Table[[#This Row],[price]]) / Table[[#This Row],[price]]</f>
        <v>-9.2224615157967343E-2</v>
      </c>
    </row>
    <row r="1762" spans="1:6" hidden="1" x14ac:dyDescent="0.2">
      <c r="A1762" t="s">
        <v>507</v>
      </c>
      <c r="B1762" t="s">
        <v>269</v>
      </c>
      <c r="C1762">
        <v>24.392370616121749</v>
      </c>
      <c r="D1762">
        <v>139.08256530761719</v>
      </c>
      <c r="E1762">
        <v>162.2023620605469</v>
      </c>
      <c r="F1762">
        <f>(Table[[#This Row],[price_lag]] - Table[[#This Row],[price]]) / Table[[#This Row],[price]]</f>
        <v>0.16623073281539125</v>
      </c>
    </row>
    <row r="1763" spans="1:6" hidden="1" x14ac:dyDescent="0.2">
      <c r="A1763" t="s">
        <v>507</v>
      </c>
      <c r="B1763" t="s">
        <v>270</v>
      </c>
      <c r="C1763">
        <v>31.151175120520211</v>
      </c>
      <c r="D1763">
        <v>78.500961303710938</v>
      </c>
      <c r="E1763">
        <v>79.820114135742188</v>
      </c>
      <c r="F1763">
        <f>(Table[[#This Row],[price_lag]] - Table[[#This Row],[price]]) / Table[[#This Row],[price]]</f>
        <v>1.6804288891795905E-2</v>
      </c>
    </row>
    <row r="1764" spans="1:6" hidden="1" x14ac:dyDescent="0.2">
      <c r="A1764" t="s">
        <v>507</v>
      </c>
      <c r="B1764" t="s">
        <v>271</v>
      </c>
      <c r="C1764">
        <v>12.100958923086591</v>
      </c>
      <c r="D1764">
        <v>233.3064880371094</v>
      </c>
      <c r="E1764">
        <v>240.37127685546881</v>
      </c>
      <c r="F1764">
        <f>(Table[[#This Row],[price_lag]] - Table[[#This Row],[price]]) / Table[[#This Row],[price]]</f>
        <v>3.0281150249176474E-2</v>
      </c>
    </row>
    <row r="1765" spans="1:6" hidden="1" x14ac:dyDescent="0.2">
      <c r="A1765" t="s">
        <v>507</v>
      </c>
      <c r="B1765" t="s">
        <v>272</v>
      </c>
      <c r="C1765">
        <v>33.894990285237633</v>
      </c>
      <c r="D1765">
        <v>20.336994171142582</v>
      </c>
      <c r="E1765">
        <v>23.253522872924801</v>
      </c>
      <c r="F1765">
        <f>(Table[[#This Row],[price_lag]] - Table[[#This Row],[price]]) / Table[[#This Row],[price]]</f>
        <v>0.14341001808028556</v>
      </c>
    </row>
    <row r="1766" spans="1:6" hidden="1" x14ac:dyDescent="0.2">
      <c r="A1766" t="s">
        <v>507</v>
      </c>
      <c r="B1766" t="s">
        <v>273</v>
      </c>
      <c r="C1766">
        <v>0</v>
      </c>
      <c r="D1766">
        <v>30.761928558349609</v>
      </c>
      <c r="E1766">
        <v>33.401710510253913</v>
      </c>
      <c r="F1766">
        <f>(Table[[#This Row],[price_lag]] - Table[[#This Row],[price]]) / Table[[#This Row],[price]]</f>
        <v>8.5813278803282197E-2</v>
      </c>
    </row>
    <row r="1767" spans="1:6" hidden="1" x14ac:dyDescent="0.2">
      <c r="A1767" t="s">
        <v>507</v>
      </c>
      <c r="B1767" t="s">
        <v>274</v>
      </c>
      <c r="C1767">
        <v>0</v>
      </c>
      <c r="D1767">
        <v>16.323650360107418</v>
      </c>
      <c r="E1767">
        <v>15.441549301147459</v>
      </c>
      <c r="F1767">
        <f>(Table[[#This Row],[price_lag]] - Table[[#This Row],[price]]) / Table[[#This Row],[price]]</f>
        <v>-5.4038223038376479E-2</v>
      </c>
    </row>
    <row r="1768" spans="1:6" hidden="1" x14ac:dyDescent="0.2">
      <c r="A1768" t="s">
        <v>507</v>
      </c>
      <c r="B1768" t="s">
        <v>275</v>
      </c>
      <c r="C1768">
        <v>41.538659321893121</v>
      </c>
      <c r="D1768">
        <v>161.16999816894531</v>
      </c>
      <c r="E1768">
        <v>149.77000427246091</v>
      </c>
      <c r="F1768">
        <f>(Table[[#This Row],[price_lag]] - Table[[#This Row],[price]]) / Table[[#This Row],[price]]</f>
        <v>-7.0732729577464168E-2</v>
      </c>
    </row>
    <row r="1769" spans="1:6" hidden="1" x14ac:dyDescent="0.2">
      <c r="A1769" t="s">
        <v>507</v>
      </c>
      <c r="B1769" t="s">
        <v>276</v>
      </c>
      <c r="C1769">
        <v>23.410928071434821</v>
      </c>
      <c r="D1769">
        <v>125.4825744628906</v>
      </c>
      <c r="E1769">
        <v>137.84596252441409</v>
      </c>
      <c r="F1769">
        <f>(Table[[#This Row],[price_lag]] - Table[[#This Row],[price]]) / Table[[#This Row],[price]]</f>
        <v>9.852673261162459E-2</v>
      </c>
    </row>
    <row r="1770" spans="1:6" hidden="1" x14ac:dyDescent="0.2">
      <c r="A1770" t="s">
        <v>507</v>
      </c>
      <c r="B1770" t="s">
        <v>277</v>
      </c>
      <c r="C1770">
        <v>24.074438343877379</v>
      </c>
      <c r="D1770">
        <v>22.148483276367191</v>
      </c>
      <c r="E1770">
        <v>20.489717483520511</v>
      </c>
      <c r="F1770">
        <f>(Table[[#This Row],[price_lag]] - Table[[#This Row],[price]]) / Table[[#This Row],[price]]</f>
        <v>-7.4892974482664063E-2</v>
      </c>
    </row>
    <row r="1771" spans="1:6" hidden="1" x14ac:dyDescent="0.2">
      <c r="A1771" t="s">
        <v>507</v>
      </c>
      <c r="B1771" t="s">
        <v>278</v>
      </c>
      <c r="C1771">
        <v>21.837577819824219</v>
      </c>
      <c r="D1771">
        <v>26.205093383789059</v>
      </c>
      <c r="E1771">
        <v>27.615119934082031</v>
      </c>
      <c r="F1771">
        <f>(Table[[#This Row],[price_lag]] - Table[[#This Row],[price]]) / Table[[#This Row],[price]]</f>
        <v>5.3807346901699651E-2</v>
      </c>
    </row>
    <row r="1772" spans="1:6" hidden="1" x14ac:dyDescent="0.2">
      <c r="A1772" t="s">
        <v>507</v>
      </c>
      <c r="B1772" t="s">
        <v>279</v>
      </c>
      <c r="C1772">
        <v>29.045579564852979</v>
      </c>
      <c r="D1772">
        <v>147.5515441894531</v>
      </c>
      <c r="E1772">
        <v>115.1013565063477</v>
      </c>
      <c r="F1772">
        <f>(Table[[#This Row],[price_lag]] - Table[[#This Row],[price]]) / Table[[#This Row],[price]]</f>
        <v>-0.21992441937063048</v>
      </c>
    </row>
    <row r="1773" spans="1:6" hidden="1" x14ac:dyDescent="0.2">
      <c r="A1773" t="s">
        <v>507</v>
      </c>
      <c r="B1773" t="s">
        <v>280</v>
      </c>
      <c r="C1773">
        <v>25.415451395473049</v>
      </c>
      <c r="D1773">
        <v>628.26995849609375</v>
      </c>
      <c r="E1773">
        <v>675.561279296875</v>
      </c>
      <c r="F1773">
        <f>(Table[[#This Row],[price_lag]] - Table[[#This Row],[price]]) / Table[[#This Row],[price]]</f>
        <v>7.5272293639479002E-2</v>
      </c>
    </row>
    <row r="1774" spans="1:6" hidden="1" x14ac:dyDescent="0.2">
      <c r="A1774" t="s">
        <v>507</v>
      </c>
      <c r="B1774" t="s">
        <v>281</v>
      </c>
      <c r="C1774">
        <v>4.0460516503975219</v>
      </c>
      <c r="D1774">
        <v>28.64604568481445</v>
      </c>
      <c r="E1774">
        <v>29.084011077880859</v>
      </c>
      <c r="F1774">
        <f>(Table[[#This Row],[price_lag]] - Table[[#This Row],[price]]) / Table[[#This Row],[price]]</f>
        <v>1.5288860385312433E-2</v>
      </c>
    </row>
    <row r="1775" spans="1:6" hidden="1" x14ac:dyDescent="0.2">
      <c r="A1775" t="s">
        <v>507</v>
      </c>
      <c r="B1775" t="s">
        <v>282</v>
      </c>
      <c r="C1775">
        <v>16.486510601672499</v>
      </c>
      <c r="D1775">
        <v>60.010898590087891</v>
      </c>
      <c r="E1775">
        <v>66.667335510253906</v>
      </c>
      <c r="F1775">
        <f>(Table[[#This Row],[price_lag]] - Table[[#This Row],[price]]) / Table[[#This Row],[price]]</f>
        <v>0.11092046739099273</v>
      </c>
    </row>
    <row r="1776" spans="1:6" hidden="1" x14ac:dyDescent="0.2">
      <c r="A1776" t="s">
        <v>507</v>
      </c>
      <c r="B1776" t="s">
        <v>283</v>
      </c>
      <c r="C1776">
        <v>21.534953397863049</v>
      </c>
      <c r="D1776">
        <v>205.01275634765619</v>
      </c>
      <c r="E1776">
        <v>206.50166320800781</v>
      </c>
      <c r="F1776">
        <f>(Table[[#This Row],[price_lag]] - Table[[#This Row],[price]]) / Table[[#This Row],[price]]</f>
        <v>7.2625083769263772E-3</v>
      </c>
    </row>
    <row r="1777" spans="1:6" hidden="1" x14ac:dyDescent="0.2">
      <c r="A1777" t="s">
        <v>507</v>
      </c>
      <c r="B1777" t="s">
        <v>284</v>
      </c>
      <c r="C1777">
        <v>32.898126646529803</v>
      </c>
      <c r="D1777">
        <v>226.339111328125</v>
      </c>
      <c r="E1777">
        <v>230.84580993652341</v>
      </c>
      <c r="F1777">
        <f>(Table[[#This Row],[price_lag]] - Table[[#This Row],[price]]) / Table[[#This Row],[price]]</f>
        <v>1.9911267575249178E-2</v>
      </c>
    </row>
    <row r="1778" spans="1:6" hidden="1" x14ac:dyDescent="0.2">
      <c r="A1778" t="s">
        <v>507</v>
      </c>
      <c r="B1778" t="s">
        <v>285</v>
      </c>
      <c r="C1778">
        <v>19.21915238903415</v>
      </c>
      <c r="D1778">
        <v>71.495246887207031</v>
      </c>
      <c r="E1778">
        <v>72.257667541503906</v>
      </c>
      <c r="F1778">
        <f>(Table[[#This Row],[price_lag]] - Table[[#This Row],[price]]) / Table[[#This Row],[price]]</f>
        <v>1.0663934841706217E-2</v>
      </c>
    </row>
    <row r="1779" spans="1:6" hidden="1" x14ac:dyDescent="0.2">
      <c r="A1779" t="s">
        <v>507</v>
      </c>
      <c r="B1779" t="s">
        <v>286</v>
      </c>
      <c r="C1779">
        <v>0</v>
      </c>
      <c r="D1779">
        <v>63.326675415039062</v>
      </c>
      <c r="E1779">
        <v>52.265628814697273</v>
      </c>
      <c r="F1779">
        <f>(Table[[#This Row],[price_lag]] - Table[[#This Row],[price]]) / Table[[#This Row],[price]]</f>
        <v>-0.17466646603265343</v>
      </c>
    </row>
    <row r="1780" spans="1:6" hidden="1" x14ac:dyDescent="0.2">
      <c r="A1780" t="s">
        <v>507</v>
      </c>
      <c r="B1780" t="s">
        <v>287</v>
      </c>
      <c r="C1780">
        <v>27.575232187906899</v>
      </c>
      <c r="D1780">
        <v>49.635417938232422</v>
      </c>
      <c r="E1780">
        <v>38.040126800537109</v>
      </c>
      <c r="F1780">
        <f>(Table[[#This Row],[price_lag]] - Table[[#This Row],[price]]) / Table[[#This Row],[price]]</f>
        <v>-0.23360921735613849</v>
      </c>
    </row>
    <row r="1781" spans="1:6" hidden="1" x14ac:dyDescent="0.2">
      <c r="A1781" t="s">
        <v>507</v>
      </c>
      <c r="B1781" t="s">
        <v>288</v>
      </c>
      <c r="C1781">
        <v>16.55660433189891</v>
      </c>
      <c r="D1781">
        <v>141.72453308105469</v>
      </c>
      <c r="E1781">
        <v>133.98101806640619</v>
      </c>
      <c r="F1781">
        <f>(Table[[#This Row],[price_lag]] - Table[[#This Row],[price]]) / Table[[#This Row],[price]]</f>
        <v>-5.4637788153585561E-2</v>
      </c>
    </row>
    <row r="1782" spans="1:6" hidden="1" x14ac:dyDescent="0.2">
      <c r="A1782" t="s">
        <v>507</v>
      </c>
      <c r="B1782" t="s">
        <v>289</v>
      </c>
      <c r="C1782">
        <v>7.9825546941146479</v>
      </c>
      <c r="D1782">
        <v>129.6366882324219</v>
      </c>
      <c r="E1782">
        <v>113.2704544067383</v>
      </c>
      <c r="F1782">
        <f>(Table[[#This Row],[price_lag]] - Table[[#This Row],[price]]) / Table[[#This Row],[price]]</f>
        <v>-0.126246929390398</v>
      </c>
    </row>
    <row r="1783" spans="1:6" hidden="1" x14ac:dyDescent="0.2">
      <c r="A1783" t="s">
        <v>507</v>
      </c>
      <c r="B1783" t="s">
        <v>290</v>
      </c>
      <c r="C1783">
        <v>27.342188379786041</v>
      </c>
      <c r="D1783">
        <v>606.99658203125</v>
      </c>
      <c r="E1783">
        <v>555.4825439453125</v>
      </c>
      <c r="F1783">
        <f>(Table[[#This Row],[price_lag]] - Table[[#This Row],[price]]) / Table[[#This Row],[price]]</f>
        <v>-8.4867097461325411E-2</v>
      </c>
    </row>
    <row r="1784" spans="1:6" hidden="1" x14ac:dyDescent="0.2">
      <c r="A1784" t="s">
        <v>507</v>
      </c>
      <c r="B1784" t="s">
        <v>291</v>
      </c>
      <c r="C1784">
        <v>39.083897755185603</v>
      </c>
      <c r="D1784">
        <v>768.11083984375</v>
      </c>
      <c r="E1784">
        <v>821.2081298828125</v>
      </c>
      <c r="F1784">
        <f>(Table[[#This Row],[price_lag]] - Table[[#This Row],[price]]) / Table[[#This Row],[price]]</f>
        <v>6.9127119791544164E-2</v>
      </c>
    </row>
    <row r="1785" spans="1:6" hidden="1" x14ac:dyDescent="0.2">
      <c r="A1785" t="s">
        <v>507</v>
      </c>
      <c r="B1785" t="s">
        <v>292</v>
      </c>
      <c r="C1785">
        <v>30.059148898357719</v>
      </c>
      <c r="D1785">
        <v>412.11093139648438</v>
      </c>
      <c r="E1785">
        <v>460.98614501953119</v>
      </c>
      <c r="F1785">
        <f>(Table[[#This Row],[price_lag]] - Table[[#This Row],[price]]) / Table[[#This Row],[price]]</f>
        <v>0.11859722686177637</v>
      </c>
    </row>
    <row r="1786" spans="1:6" hidden="1" x14ac:dyDescent="0.2">
      <c r="A1786" t="s">
        <v>507</v>
      </c>
      <c r="B1786" t="s">
        <v>293</v>
      </c>
      <c r="C1786">
        <v>47.296026897774709</v>
      </c>
      <c r="D1786">
        <v>131.00999450683591</v>
      </c>
      <c r="E1786">
        <v>130.58000183105469</v>
      </c>
      <c r="F1786">
        <f>(Table[[#This Row],[price_lag]] - Table[[#This Row],[price]]) / Table[[#This Row],[price]]</f>
        <v>-3.2821364308872267E-3</v>
      </c>
    </row>
    <row r="1787" spans="1:6" hidden="1" x14ac:dyDescent="0.2">
      <c r="A1787" t="s">
        <v>507</v>
      </c>
      <c r="B1787" t="s">
        <v>294</v>
      </c>
      <c r="C1787">
        <v>14.588127136230471</v>
      </c>
      <c r="D1787">
        <v>35.011505126953118</v>
      </c>
      <c r="E1787">
        <v>41.412681579589837</v>
      </c>
      <c r="F1787">
        <f>(Table[[#This Row],[price_lag]] - Table[[#This Row],[price]]) / Table[[#This Row],[price]]</f>
        <v>0.182830656077932</v>
      </c>
    </row>
    <row r="1788" spans="1:6" hidden="1" x14ac:dyDescent="0.2">
      <c r="A1788" t="s">
        <v>507</v>
      </c>
      <c r="B1788" t="s">
        <v>295</v>
      </c>
      <c r="C1788">
        <v>52.637823814768431</v>
      </c>
      <c r="D1788">
        <v>469.52938842773438</v>
      </c>
      <c r="E1788">
        <v>437.12200927734381</v>
      </c>
      <c r="F1788">
        <f>(Table[[#This Row],[price_lag]] - Table[[#This Row],[price]]) / Table[[#This Row],[price]]</f>
        <v>-6.9020981325386005E-2</v>
      </c>
    </row>
    <row r="1789" spans="1:6" hidden="1" x14ac:dyDescent="0.2">
      <c r="A1789" t="s">
        <v>507</v>
      </c>
      <c r="B1789" t="s">
        <v>296</v>
      </c>
      <c r="C1789">
        <v>24.466082107189091</v>
      </c>
      <c r="D1789">
        <v>84.163322448730469</v>
      </c>
      <c r="E1789">
        <v>91.731124877929688</v>
      </c>
      <c r="F1789">
        <f>(Table[[#This Row],[price_lag]] - Table[[#This Row],[price]]) / Table[[#This Row],[price]]</f>
        <v>8.9918057046871877E-2</v>
      </c>
    </row>
    <row r="1790" spans="1:6" hidden="1" x14ac:dyDescent="0.2">
      <c r="A1790" t="s">
        <v>507</v>
      </c>
      <c r="B1790" t="s">
        <v>297</v>
      </c>
      <c r="C1790">
        <v>30.100446701049801</v>
      </c>
      <c r="D1790">
        <v>240.80357360839841</v>
      </c>
      <c r="E1790">
        <v>228.6224365234375</v>
      </c>
      <c r="F1790">
        <f>(Table[[#This Row],[price_lag]] - Table[[#This Row],[price]]) / Table[[#This Row],[price]]</f>
        <v>-5.0585366746966218E-2</v>
      </c>
    </row>
    <row r="1791" spans="1:6" hidden="1" x14ac:dyDescent="0.2">
      <c r="A1791" t="s">
        <v>507</v>
      </c>
      <c r="B1791" t="s">
        <v>298</v>
      </c>
      <c r="C1791">
        <v>15.61178812166539</v>
      </c>
      <c r="D1791">
        <v>384.04998779296881</v>
      </c>
      <c r="E1791">
        <v>283.05999755859381</v>
      </c>
      <c r="F1791">
        <f>(Table[[#This Row],[price_lag]] - Table[[#This Row],[price]]) / Table[[#This Row],[price]]</f>
        <v>-0.26296053494165461</v>
      </c>
    </row>
    <row r="1792" spans="1:6" hidden="1" x14ac:dyDescent="0.2">
      <c r="A1792" t="s">
        <v>507</v>
      </c>
      <c r="B1792" t="s">
        <v>299</v>
      </c>
      <c r="C1792">
        <v>16.014011089618389</v>
      </c>
      <c r="D1792">
        <v>66.6182861328125</v>
      </c>
      <c r="E1792">
        <v>65.21514892578125</v>
      </c>
      <c r="F1792">
        <f>(Table[[#This Row],[price_lag]] - Table[[#This Row],[price]]) / Table[[#This Row],[price]]</f>
        <v>-2.1062343216604336E-2</v>
      </c>
    </row>
    <row r="1793" spans="1:6" hidden="1" x14ac:dyDescent="0.2">
      <c r="A1793" t="s">
        <v>507</v>
      </c>
      <c r="B1793" t="s">
        <v>300</v>
      </c>
      <c r="C1793">
        <v>11.79196465875685</v>
      </c>
      <c r="D1793">
        <v>183.01129150390619</v>
      </c>
      <c r="E1793">
        <v>174.72026062011719</v>
      </c>
      <c r="F1793">
        <f>(Table[[#This Row],[price_lag]] - Table[[#This Row],[price]]) / Table[[#This Row],[price]]</f>
        <v>-4.5303384374029414E-2</v>
      </c>
    </row>
    <row r="1794" spans="1:6" hidden="1" x14ac:dyDescent="0.2">
      <c r="A1794" t="s">
        <v>507</v>
      </c>
      <c r="B1794" t="s">
        <v>301</v>
      </c>
      <c r="C1794">
        <v>28.589317716401201</v>
      </c>
      <c r="D1794">
        <v>132.65443420410159</v>
      </c>
      <c r="E1794">
        <v>143.34550476074219</v>
      </c>
      <c r="F1794">
        <f>(Table[[#This Row],[price_lag]] - Table[[#This Row],[price]]) / Table[[#This Row],[price]]</f>
        <v>8.0593390042215676E-2</v>
      </c>
    </row>
    <row r="1795" spans="1:6" hidden="1" x14ac:dyDescent="0.2">
      <c r="A1795" t="s">
        <v>507</v>
      </c>
      <c r="B1795" t="s">
        <v>302</v>
      </c>
      <c r="C1795">
        <v>31.862572417862111</v>
      </c>
      <c r="D1795">
        <v>221.76350402832031</v>
      </c>
      <c r="E1795">
        <v>213.7911376953125</v>
      </c>
      <c r="F1795">
        <f>(Table[[#This Row],[price_lag]] - Table[[#This Row],[price]]) / Table[[#This Row],[price]]</f>
        <v>-3.594985733987005E-2</v>
      </c>
    </row>
    <row r="1796" spans="1:6" hidden="1" x14ac:dyDescent="0.2">
      <c r="A1796" t="s">
        <v>507</v>
      </c>
      <c r="B1796" t="s">
        <v>303</v>
      </c>
      <c r="C1796">
        <v>42.576702094516882</v>
      </c>
      <c r="D1796">
        <v>277.60009765625</v>
      </c>
      <c r="E1796">
        <v>236.4250793457031</v>
      </c>
      <c r="F1796">
        <f>(Table[[#This Row],[price_lag]] - Table[[#This Row],[price]]) / Table[[#This Row],[price]]</f>
        <v>-0.14832494173519203</v>
      </c>
    </row>
    <row r="1797" spans="1:6" hidden="1" x14ac:dyDescent="0.2">
      <c r="A1797" t="s">
        <v>507</v>
      </c>
      <c r="B1797" t="s">
        <v>304</v>
      </c>
      <c r="C1797">
        <v>32.60089635848999</v>
      </c>
      <c r="D1797">
        <v>208.64573669433591</v>
      </c>
      <c r="E1797">
        <v>241.08757019042969</v>
      </c>
      <c r="F1797">
        <f>(Table[[#This Row],[price_lag]] - Table[[#This Row],[price]]) / Table[[#This Row],[price]]</f>
        <v>0.15548764144469804</v>
      </c>
    </row>
    <row r="1798" spans="1:6" hidden="1" x14ac:dyDescent="0.2">
      <c r="A1798" t="s">
        <v>507</v>
      </c>
      <c r="B1798" t="s">
        <v>305</v>
      </c>
      <c r="C1798">
        <v>26.88470788904139</v>
      </c>
      <c r="D1798">
        <v>517.26177978515625</v>
      </c>
      <c r="E1798">
        <v>476.16229248046881</v>
      </c>
      <c r="F1798">
        <f>(Table[[#This Row],[price_lag]] - Table[[#This Row],[price]]) / Table[[#This Row],[price]]</f>
        <v>-7.9455874976415305E-2</v>
      </c>
    </row>
    <row r="1799" spans="1:6" hidden="1" x14ac:dyDescent="0.2">
      <c r="A1799" t="s">
        <v>507</v>
      </c>
      <c r="B1799" t="s">
        <v>306</v>
      </c>
      <c r="C1799">
        <v>20.779938584800991</v>
      </c>
      <c r="D1799">
        <v>71.189659118652344</v>
      </c>
      <c r="E1799">
        <v>68.542884826660156</v>
      </c>
      <c r="F1799">
        <f>(Table[[#This Row],[price_lag]] - Table[[#This Row],[price]]) / Table[[#This Row],[price]]</f>
        <v>-3.7179196034367701E-2</v>
      </c>
    </row>
    <row r="1800" spans="1:6" hidden="1" x14ac:dyDescent="0.2">
      <c r="A1800" t="s">
        <v>507</v>
      </c>
      <c r="B1800" t="s">
        <v>307</v>
      </c>
      <c r="C1800">
        <v>35.835429600306917</v>
      </c>
      <c r="D1800">
        <v>521.76385498046875</v>
      </c>
      <c r="E1800">
        <v>544.973388671875</v>
      </c>
      <c r="F1800">
        <f>(Table[[#This Row],[price_lag]] - Table[[#This Row],[price]]) / Table[[#This Row],[price]]</f>
        <v>4.448283159107496E-2</v>
      </c>
    </row>
    <row r="1801" spans="1:6" hidden="1" x14ac:dyDescent="0.2">
      <c r="A1801" t="s">
        <v>507</v>
      </c>
      <c r="B1801" t="s">
        <v>308</v>
      </c>
      <c r="C1801">
        <v>12.642410823277061</v>
      </c>
      <c r="D1801">
        <v>31.8588752746582</v>
      </c>
      <c r="E1801">
        <v>30.48200607299805</v>
      </c>
      <c r="F1801">
        <f>(Table[[#This Row],[price_lag]] - Table[[#This Row],[price]]) / Table[[#This Row],[price]]</f>
        <v>-4.3217759252014931E-2</v>
      </c>
    </row>
    <row r="1802" spans="1:6" hidden="1" x14ac:dyDescent="0.2">
      <c r="A1802" t="s">
        <v>507</v>
      </c>
      <c r="B1802" t="s">
        <v>309</v>
      </c>
      <c r="C1802">
        <v>22.977461814880371</v>
      </c>
      <c r="D1802">
        <v>73.527877807617188</v>
      </c>
      <c r="E1802">
        <v>80.213119506835938</v>
      </c>
      <c r="F1802">
        <f>(Table[[#This Row],[price_lag]] - Table[[#This Row],[price]]) / Table[[#This Row],[price]]</f>
        <v>9.0921183890420768E-2</v>
      </c>
    </row>
    <row r="1803" spans="1:6" hidden="1" x14ac:dyDescent="0.2">
      <c r="A1803" t="s">
        <v>507</v>
      </c>
      <c r="B1803" t="s">
        <v>310</v>
      </c>
      <c r="C1803">
        <v>25.08688918347617</v>
      </c>
      <c r="D1803">
        <v>282.99917602539062</v>
      </c>
      <c r="E1803">
        <v>307.0125732421875</v>
      </c>
      <c r="F1803">
        <f>(Table[[#This Row],[price_lag]] - Table[[#This Row],[price]]) / Table[[#This Row],[price]]</f>
        <v>8.4853240755168841E-2</v>
      </c>
    </row>
    <row r="1804" spans="1:6" hidden="1" x14ac:dyDescent="0.2">
      <c r="A1804" t="s">
        <v>507</v>
      </c>
      <c r="B1804" t="s">
        <v>311</v>
      </c>
      <c r="C1804">
        <v>20.356193039683689</v>
      </c>
      <c r="D1804">
        <v>568.34490966796875</v>
      </c>
      <c r="E1804">
        <v>670.8980712890625</v>
      </c>
      <c r="F1804">
        <f>(Table[[#This Row],[price_lag]] - Table[[#This Row],[price]]) / Table[[#This Row],[price]]</f>
        <v>0.18044177026412722</v>
      </c>
    </row>
    <row r="1805" spans="1:6" hidden="1" x14ac:dyDescent="0.2">
      <c r="A1805" t="s">
        <v>507</v>
      </c>
      <c r="B1805" t="s">
        <v>312</v>
      </c>
      <c r="C1805">
        <v>19.24337254892481</v>
      </c>
      <c r="D1805">
        <v>77.74322509765625</v>
      </c>
      <c r="E1805">
        <v>88.448684692382812</v>
      </c>
      <c r="F1805">
        <f>(Table[[#This Row],[price_lag]] - Table[[#This Row],[price]]) / Table[[#This Row],[price]]</f>
        <v>0.13770279765573171</v>
      </c>
    </row>
    <row r="1806" spans="1:6" hidden="1" x14ac:dyDescent="0.2">
      <c r="A1806" t="s">
        <v>507</v>
      </c>
      <c r="B1806" t="s">
        <v>313</v>
      </c>
      <c r="C1806">
        <v>16.00552513927472</v>
      </c>
      <c r="D1806">
        <v>94.80584716796875</v>
      </c>
      <c r="E1806">
        <v>87.255149841308594</v>
      </c>
      <c r="F1806">
        <f>(Table[[#This Row],[price_lag]] - Table[[#This Row],[price]]) / Table[[#This Row],[price]]</f>
        <v>-7.964379362891498E-2</v>
      </c>
    </row>
    <row r="1807" spans="1:6" hidden="1" x14ac:dyDescent="0.2">
      <c r="A1807" t="s">
        <v>507</v>
      </c>
      <c r="B1807" t="s">
        <v>314</v>
      </c>
      <c r="C1807">
        <v>17.881719348500081</v>
      </c>
      <c r="D1807">
        <v>589.3814697265625</v>
      </c>
      <c r="E1807">
        <v>575.0594482421875</v>
      </c>
      <c r="F1807">
        <f>(Table[[#This Row],[price_lag]] - Table[[#This Row],[price]]) / Table[[#This Row],[price]]</f>
        <v>-2.4300087837881221E-2</v>
      </c>
    </row>
    <row r="1808" spans="1:6" hidden="1" x14ac:dyDescent="0.2">
      <c r="A1808" t="s">
        <v>507</v>
      </c>
      <c r="B1808" t="s">
        <v>315</v>
      </c>
      <c r="C1808">
        <v>11.125523856516629</v>
      </c>
      <c r="D1808">
        <v>79.213729858398438</v>
      </c>
      <c r="E1808">
        <v>78.528717041015625</v>
      </c>
      <c r="F1808">
        <f>(Table[[#This Row],[price_lag]] - Table[[#This Row],[price]]) / Table[[#This Row],[price]]</f>
        <v>-8.6476526052659507E-3</v>
      </c>
    </row>
    <row r="1809" spans="1:6" hidden="1" x14ac:dyDescent="0.2">
      <c r="A1809" t="s">
        <v>507</v>
      </c>
      <c r="B1809" t="s">
        <v>316</v>
      </c>
      <c r="C1809">
        <v>25.41500091552734</v>
      </c>
      <c r="D1809">
        <v>1219.920043945312</v>
      </c>
      <c r="E1809">
        <v>1180.910034179688</v>
      </c>
      <c r="F1809">
        <f>(Table[[#This Row],[price_lag]] - Table[[#This Row],[price]]) / Table[[#This Row],[price]]</f>
        <v>-3.1977513574957601E-2</v>
      </c>
    </row>
    <row r="1810" spans="1:6" hidden="1" x14ac:dyDescent="0.2">
      <c r="A1810" t="s">
        <v>507</v>
      </c>
      <c r="B1810" t="s">
        <v>317</v>
      </c>
      <c r="C1810">
        <v>16.51442234332745</v>
      </c>
      <c r="D1810">
        <v>34.349998474121087</v>
      </c>
      <c r="E1810">
        <v>29.639999389648441</v>
      </c>
      <c r="F1810">
        <f>(Table[[#This Row],[price_lag]] - Table[[#This Row],[price]]) / Table[[#This Row],[price]]</f>
        <v>-0.13711788336820765</v>
      </c>
    </row>
    <row r="1811" spans="1:6" hidden="1" x14ac:dyDescent="0.2">
      <c r="A1811" t="s">
        <v>507</v>
      </c>
      <c r="B1811" t="s">
        <v>318</v>
      </c>
      <c r="C1811">
        <v>0</v>
      </c>
      <c r="D1811">
        <v>55.372348785400391</v>
      </c>
      <c r="E1811">
        <v>47.281112670898438</v>
      </c>
      <c r="F1811">
        <f>(Table[[#This Row],[price_lag]] - Table[[#This Row],[price]]) / Table[[#This Row],[price]]</f>
        <v>-0.14612412678862755</v>
      </c>
    </row>
    <row r="1812" spans="1:6" hidden="1" x14ac:dyDescent="0.2">
      <c r="A1812" t="s">
        <v>507</v>
      </c>
      <c r="B1812" t="s">
        <v>319</v>
      </c>
      <c r="C1812">
        <v>12.653471174694239</v>
      </c>
      <c r="D1812">
        <v>85.031326293945312</v>
      </c>
      <c r="E1812">
        <v>86.718925476074219</v>
      </c>
      <c r="F1812">
        <f>(Table[[#This Row],[price_lag]] - Table[[#This Row],[price]]) / Table[[#This Row],[price]]</f>
        <v>1.9846793595751221E-2</v>
      </c>
    </row>
    <row r="1813" spans="1:6" hidden="1" x14ac:dyDescent="0.2">
      <c r="A1813" t="s">
        <v>507</v>
      </c>
      <c r="B1813" t="s">
        <v>320</v>
      </c>
      <c r="C1813">
        <v>32.54005290843822</v>
      </c>
      <c r="D1813">
        <v>421.71908569335938</v>
      </c>
      <c r="E1813">
        <v>373.38833618164062</v>
      </c>
      <c r="F1813">
        <f>(Table[[#This Row],[price_lag]] - Table[[#This Row],[price]]) / Table[[#This Row],[price]]</f>
        <v>-0.11460413140244033</v>
      </c>
    </row>
    <row r="1814" spans="1:6" hidden="1" x14ac:dyDescent="0.2">
      <c r="A1814" t="s">
        <v>507</v>
      </c>
      <c r="B1814" t="s">
        <v>321</v>
      </c>
      <c r="C1814">
        <v>25.567758587044729</v>
      </c>
      <c r="D1814">
        <v>145.22486877441409</v>
      </c>
      <c r="E1814">
        <v>160.6300354003906</v>
      </c>
      <c r="F1814">
        <f>(Table[[#This Row],[price_lag]] - Table[[#This Row],[price]]) / Table[[#This Row],[price]]</f>
        <v>0.10607802063093073</v>
      </c>
    </row>
    <row r="1815" spans="1:6" hidden="1" x14ac:dyDescent="0.2">
      <c r="A1815" t="s">
        <v>507</v>
      </c>
      <c r="B1815" t="s">
        <v>322</v>
      </c>
      <c r="C1815">
        <v>0</v>
      </c>
      <c r="D1815">
        <v>39.380001068115227</v>
      </c>
      <c r="E1815">
        <v>28.35000038146973</v>
      </c>
      <c r="F1815">
        <f>(Table[[#This Row],[price_lag]] - Table[[#This Row],[price]]) / Table[[#This Row],[price]]</f>
        <v>-0.28009142680232552</v>
      </c>
    </row>
    <row r="1816" spans="1:6" hidden="1" x14ac:dyDescent="0.2">
      <c r="A1816" t="s">
        <v>507</v>
      </c>
      <c r="B1816" t="s">
        <v>323</v>
      </c>
      <c r="C1816">
        <v>20.023648803298538</v>
      </c>
      <c r="D1816">
        <v>118.5400009155273</v>
      </c>
      <c r="E1816">
        <v>114.1800003051758</v>
      </c>
      <c r="F1816">
        <f>(Table[[#This Row],[price_lag]] - Table[[#This Row],[price]]) / Table[[#This Row],[price]]</f>
        <v>-3.6780838338768718E-2</v>
      </c>
    </row>
    <row r="1817" spans="1:6" hidden="1" x14ac:dyDescent="0.2">
      <c r="A1817" t="s">
        <v>507</v>
      </c>
      <c r="B1817" t="s">
        <v>324</v>
      </c>
      <c r="C1817">
        <v>16.14071688937705</v>
      </c>
      <c r="D1817">
        <v>289.3800048828125</v>
      </c>
      <c r="E1817">
        <v>329.3900146484375</v>
      </c>
      <c r="F1817">
        <f>(Table[[#This Row],[price_lag]] - Table[[#This Row],[price]]) / Table[[#This Row],[price]]</f>
        <v>0.13826114137301046</v>
      </c>
    </row>
    <row r="1818" spans="1:6" hidden="1" x14ac:dyDescent="0.2">
      <c r="A1818" t="s">
        <v>507</v>
      </c>
      <c r="B1818" t="s">
        <v>325</v>
      </c>
      <c r="C1818">
        <v>9.7927461351667144</v>
      </c>
      <c r="D1818">
        <v>54.839378356933587</v>
      </c>
      <c r="E1818">
        <v>59.134071350097663</v>
      </c>
      <c r="F1818">
        <f>(Table[[#This Row],[price_lag]] - Table[[#This Row],[price]]) / Table[[#This Row],[price]]</f>
        <v>7.8314034947864791E-2</v>
      </c>
    </row>
    <row r="1819" spans="1:6" hidden="1" x14ac:dyDescent="0.2">
      <c r="A1819" t="s">
        <v>507</v>
      </c>
      <c r="B1819" t="s">
        <v>326</v>
      </c>
      <c r="C1819">
        <v>10.931380468470451</v>
      </c>
      <c r="D1819">
        <v>57.280433654785163</v>
      </c>
      <c r="E1819">
        <v>66.231842041015625</v>
      </c>
      <c r="F1819">
        <f>(Table[[#This Row],[price_lag]] - Table[[#This Row],[price]]) / Table[[#This Row],[price]]</f>
        <v>0.15627340463548792</v>
      </c>
    </row>
    <row r="1820" spans="1:6" hidden="1" x14ac:dyDescent="0.2">
      <c r="A1820" t="s">
        <v>507</v>
      </c>
      <c r="B1820" t="s">
        <v>327</v>
      </c>
      <c r="C1820">
        <v>4.9786732991536464</v>
      </c>
      <c r="D1820">
        <v>597.4407958984375</v>
      </c>
      <c r="E1820">
        <v>576.75689697265625</v>
      </c>
      <c r="F1820">
        <f>(Table[[#This Row],[price_lag]] - Table[[#This Row],[price]]) / Table[[#This Row],[price]]</f>
        <v>-3.4620834512441676E-2</v>
      </c>
    </row>
    <row r="1821" spans="1:6" hidden="1" x14ac:dyDescent="0.2">
      <c r="A1821" t="s">
        <v>507</v>
      </c>
      <c r="B1821" t="s">
        <v>328</v>
      </c>
      <c r="C1821">
        <v>33.673076140574921</v>
      </c>
      <c r="D1821">
        <v>52.529998779296882</v>
      </c>
      <c r="E1821">
        <v>58.520000457763672</v>
      </c>
      <c r="F1821">
        <f>(Table[[#This Row],[price_lag]] - Table[[#This Row],[price]]) / Table[[#This Row],[price]]</f>
        <v>0.11403011265303072</v>
      </c>
    </row>
    <row r="1822" spans="1:6" hidden="1" x14ac:dyDescent="0.2">
      <c r="A1822" t="s">
        <v>507</v>
      </c>
      <c r="B1822" t="s">
        <v>329</v>
      </c>
      <c r="C1822">
        <v>53.892940556237463</v>
      </c>
      <c r="D1822">
        <v>469.94644165039062</v>
      </c>
      <c r="E1822">
        <v>463.03460693359381</v>
      </c>
      <c r="F1822">
        <f>(Table[[#This Row],[price_lag]] - Table[[#This Row],[price]]) / Table[[#This Row],[price]]</f>
        <v>-1.470770731346184E-2</v>
      </c>
    </row>
    <row r="1823" spans="1:6" hidden="1" x14ac:dyDescent="0.2">
      <c r="A1823" t="s">
        <v>507</v>
      </c>
      <c r="B1823" t="s">
        <v>330</v>
      </c>
      <c r="C1823">
        <v>13.591641743977871</v>
      </c>
      <c r="D1823">
        <v>122.3247756958008</v>
      </c>
      <c r="E1823">
        <v>114.2472610473633</v>
      </c>
      <c r="F1823">
        <f>(Table[[#This Row],[price_lag]] - Table[[#This Row],[price]]) / Table[[#This Row],[price]]</f>
        <v>-6.60333493561827E-2</v>
      </c>
    </row>
    <row r="1824" spans="1:6" hidden="1" x14ac:dyDescent="0.2">
      <c r="A1824" t="s">
        <v>507</v>
      </c>
      <c r="B1824" t="s">
        <v>331</v>
      </c>
      <c r="C1824">
        <v>10.97427853998148</v>
      </c>
      <c r="D1824">
        <v>23.265470504760739</v>
      </c>
      <c r="E1824">
        <v>26.42426872253418</v>
      </c>
      <c r="F1824">
        <f>(Table[[#This Row],[price_lag]] - Table[[#This Row],[price]]) / Table[[#This Row],[price]]</f>
        <v>0.13577194654744104</v>
      </c>
    </row>
    <row r="1825" spans="1:6" hidden="1" x14ac:dyDescent="0.2">
      <c r="A1825" t="s">
        <v>507</v>
      </c>
      <c r="B1825" t="s">
        <v>332</v>
      </c>
      <c r="C1825">
        <v>31.323750813802079</v>
      </c>
      <c r="D1825">
        <v>458.5797119140625</v>
      </c>
      <c r="E1825">
        <v>434.22122192382812</v>
      </c>
      <c r="F1825">
        <f>(Table[[#This Row],[price_lag]] - Table[[#This Row],[price]]) / Table[[#This Row],[price]]</f>
        <v>-5.3117242994821234E-2</v>
      </c>
    </row>
    <row r="1826" spans="1:6" hidden="1" x14ac:dyDescent="0.2">
      <c r="A1826" t="s">
        <v>507</v>
      </c>
      <c r="B1826" t="s">
        <v>333</v>
      </c>
      <c r="C1826">
        <v>37.860177666939727</v>
      </c>
      <c r="D1826">
        <v>592.1331787109375</v>
      </c>
      <c r="E1826">
        <v>560.173095703125</v>
      </c>
      <c r="F1826">
        <f>(Table[[#This Row],[price_lag]] - Table[[#This Row],[price]]) / Table[[#This Row],[price]]</f>
        <v>-5.3974484384389648E-2</v>
      </c>
    </row>
    <row r="1827" spans="1:6" hidden="1" x14ac:dyDescent="0.2">
      <c r="A1827" t="s">
        <v>507</v>
      </c>
      <c r="B1827" t="s">
        <v>334</v>
      </c>
      <c r="C1827">
        <v>30.82945423741495</v>
      </c>
      <c r="D1827">
        <v>76.457046508789062</v>
      </c>
      <c r="E1827">
        <v>75.185829162597656</v>
      </c>
      <c r="F1827">
        <f>(Table[[#This Row],[price_lag]] - Table[[#This Row],[price]]) / Table[[#This Row],[price]]</f>
        <v>-1.6626555749119531E-2</v>
      </c>
    </row>
    <row r="1828" spans="1:6" hidden="1" x14ac:dyDescent="0.2">
      <c r="A1828" t="s">
        <v>507</v>
      </c>
      <c r="B1828" t="s">
        <v>335</v>
      </c>
      <c r="C1828">
        <v>19.3232451977373</v>
      </c>
      <c r="D1828">
        <v>113.6206817626953</v>
      </c>
      <c r="E1828">
        <v>86.062431335449219</v>
      </c>
      <c r="F1828">
        <f>(Table[[#This Row],[price_lag]] - Table[[#This Row],[price]]) / Table[[#This Row],[price]]</f>
        <v>-0.24254607523657887</v>
      </c>
    </row>
    <row r="1829" spans="1:6" hidden="1" x14ac:dyDescent="0.2">
      <c r="A1829" t="s">
        <v>507</v>
      </c>
      <c r="B1829" t="s">
        <v>336</v>
      </c>
      <c r="C1829">
        <v>51.512013310971469</v>
      </c>
      <c r="D1829">
        <v>90.042999267578125</v>
      </c>
      <c r="E1829">
        <v>93.252998352050781</v>
      </c>
      <c r="F1829">
        <f>(Table[[#This Row],[price_lag]] - Table[[#This Row],[price]]) / Table[[#This Row],[price]]</f>
        <v>3.5649624186035796E-2</v>
      </c>
    </row>
    <row r="1830" spans="1:6" hidden="1" x14ac:dyDescent="0.2">
      <c r="A1830" t="s">
        <v>507</v>
      </c>
      <c r="B1830" t="s">
        <v>337</v>
      </c>
      <c r="C1830">
        <v>7.3353105975735584</v>
      </c>
      <c r="D1830">
        <v>36.383140563964837</v>
      </c>
      <c r="E1830">
        <v>47.756938934326172</v>
      </c>
      <c r="F1830">
        <f>(Table[[#This Row],[price_lag]] - Table[[#This Row],[price]]) / Table[[#This Row],[price]]</f>
        <v>0.31261178100788672</v>
      </c>
    </row>
    <row r="1831" spans="1:6" hidden="1" x14ac:dyDescent="0.2">
      <c r="A1831" t="s">
        <v>507</v>
      </c>
      <c r="B1831" t="s">
        <v>338</v>
      </c>
      <c r="C1831">
        <v>17.950615129972761</v>
      </c>
      <c r="D1831">
        <v>27.28493499755859</v>
      </c>
      <c r="E1831">
        <v>27.127475738525391</v>
      </c>
      <c r="F1831">
        <f>(Table[[#This Row],[price_lag]] - Table[[#This Row],[price]]) / Table[[#This Row],[price]]</f>
        <v>-5.7709230037487269E-3</v>
      </c>
    </row>
    <row r="1832" spans="1:6" hidden="1" x14ac:dyDescent="0.2">
      <c r="A1832" t="s">
        <v>507</v>
      </c>
      <c r="B1832" t="s">
        <v>339</v>
      </c>
      <c r="C1832">
        <v>19.82778624484413</v>
      </c>
      <c r="D1832">
        <v>30.138235092163089</v>
      </c>
      <c r="E1832">
        <v>30.276411056518551</v>
      </c>
      <c r="F1832">
        <f>(Table[[#This Row],[price_lag]] - Table[[#This Row],[price]]) / Table[[#This Row],[price]]</f>
        <v>4.584739747796043E-3</v>
      </c>
    </row>
    <row r="1833" spans="1:6" hidden="1" x14ac:dyDescent="0.2">
      <c r="A1833" t="s">
        <v>507</v>
      </c>
      <c r="B1833" t="s">
        <v>340</v>
      </c>
      <c r="C1833">
        <v>29.747551080825211</v>
      </c>
      <c r="D1833">
        <v>69.589279174804688</v>
      </c>
      <c r="E1833">
        <v>69.312034606933594</v>
      </c>
      <c r="F1833">
        <f>(Table[[#This Row],[price_lag]] - Table[[#This Row],[price]]) / Table[[#This Row],[price]]</f>
        <v>-3.9840126404337324E-3</v>
      </c>
    </row>
    <row r="1834" spans="1:6" hidden="1" x14ac:dyDescent="0.2">
      <c r="A1834" t="s">
        <v>507</v>
      </c>
      <c r="B1834" t="s">
        <v>341</v>
      </c>
      <c r="C1834">
        <v>23.377122634496441</v>
      </c>
      <c r="D1834">
        <v>72.936622619628906</v>
      </c>
      <c r="E1834">
        <v>62.336921691894531</v>
      </c>
      <c r="F1834">
        <f>(Table[[#This Row],[price_lag]] - Table[[#This Row],[price]]) / Table[[#This Row],[price]]</f>
        <v>-0.14532755352565166</v>
      </c>
    </row>
    <row r="1835" spans="1:6" hidden="1" x14ac:dyDescent="0.2">
      <c r="A1835" t="s">
        <v>507</v>
      </c>
      <c r="B1835" t="s">
        <v>342</v>
      </c>
      <c r="C1835">
        <v>21.896008918621789</v>
      </c>
      <c r="D1835">
        <v>35.690494537353523</v>
      </c>
      <c r="E1835">
        <v>39.282131195068359</v>
      </c>
      <c r="F1835">
        <f>(Table[[#This Row],[price_lag]] - Table[[#This Row],[price]]) / Table[[#This Row],[price]]</f>
        <v>0.10063286329517919</v>
      </c>
    </row>
    <row r="1836" spans="1:6" hidden="1" x14ac:dyDescent="0.2">
      <c r="A1836" t="s">
        <v>507</v>
      </c>
      <c r="B1836" t="s">
        <v>343</v>
      </c>
      <c r="C1836">
        <v>30.88066836437547</v>
      </c>
      <c r="D1836">
        <v>205.0476379394531</v>
      </c>
      <c r="E1836">
        <v>199.5538330078125</v>
      </c>
      <c r="F1836">
        <f>(Table[[#This Row],[price_lag]] - Table[[#This Row],[price]]) / Table[[#This Row],[price]]</f>
        <v>-2.6792822325818838E-2</v>
      </c>
    </row>
    <row r="1837" spans="1:6" hidden="1" x14ac:dyDescent="0.2">
      <c r="A1837" t="s">
        <v>507</v>
      </c>
      <c r="B1837" t="s">
        <v>344</v>
      </c>
      <c r="C1837">
        <v>17.645829312446018</v>
      </c>
      <c r="D1837">
        <v>228.60270690917969</v>
      </c>
      <c r="E1837">
        <v>233.14396667480469</v>
      </c>
      <c r="F1837">
        <f>(Table[[#This Row],[price_lag]] - Table[[#This Row],[price]]) / Table[[#This Row],[price]]</f>
        <v>1.9865293053722116E-2</v>
      </c>
    </row>
    <row r="1838" spans="1:6" hidden="1" x14ac:dyDescent="0.2">
      <c r="A1838" t="s">
        <v>507</v>
      </c>
      <c r="B1838" t="s">
        <v>345</v>
      </c>
      <c r="C1838">
        <v>11.01217479957883</v>
      </c>
      <c r="D1838">
        <v>99.990547180175781</v>
      </c>
      <c r="E1838">
        <v>96.765274047851562</v>
      </c>
      <c r="F1838">
        <f>(Table[[#This Row],[price_lag]] - Table[[#This Row],[price]]) / Table[[#This Row],[price]]</f>
        <v>-3.2255780404046676E-2</v>
      </c>
    </row>
    <row r="1839" spans="1:6" hidden="1" x14ac:dyDescent="0.2">
      <c r="A1839" t="s">
        <v>507</v>
      </c>
      <c r="B1839" t="s">
        <v>346</v>
      </c>
      <c r="C1839">
        <v>16.152072649851949</v>
      </c>
      <c r="D1839">
        <v>458.55734252929688</v>
      </c>
      <c r="E1839">
        <v>505.52630615234381</v>
      </c>
      <c r="F1839">
        <f>(Table[[#This Row],[price_lag]] - Table[[#This Row],[price]]) / Table[[#This Row],[price]]</f>
        <v>0.10242767755931445</v>
      </c>
    </row>
    <row r="1840" spans="1:6" hidden="1" x14ac:dyDescent="0.2">
      <c r="A1840" t="s">
        <v>507</v>
      </c>
      <c r="B1840" t="s">
        <v>347</v>
      </c>
      <c r="C1840">
        <v>11.09913793103448</v>
      </c>
      <c r="D1840">
        <v>25.75</v>
      </c>
      <c r="E1840">
        <v>18.95999908447266</v>
      </c>
      <c r="F1840">
        <f>(Table[[#This Row],[price_lag]] - Table[[#This Row],[price]]) / Table[[#This Row],[price]]</f>
        <v>-0.26368935594280934</v>
      </c>
    </row>
    <row r="1841" spans="1:6" hidden="1" x14ac:dyDescent="0.2">
      <c r="A1841" t="s">
        <v>507</v>
      </c>
      <c r="B1841" t="s">
        <v>348</v>
      </c>
      <c r="C1841">
        <v>17.68714667294276</v>
      </c>
      <c r="D1841">
        <v>90.911933898925781</v>
      </c>
      <c r="E1841">
        <v>94.583709716796875</v>
      </c>
      <c r="F1841">
        <f>(Table[[#This Row],[price_lag]] - Table[[#This Row],[price]]) / Table[[#This Row],[price]]</f>
        <v>4.0388270938701037E-2</v>
      </c>
    </row>
    <row r="1842" spans="1:6" hidden="1" x14ac:dyDescent="0.2">
      <c r="A1842" t="s">
        <v>507</v>
      </c>
      <c r="B1842" t="s">
        <v>349</v>
      </c>
      <c r="C1842">
        <v>23.25014833544121</v>
      </c>
      <c r="D1842">
        <v>113.4607238769531</v>
      </c>
      <c r="E1842">
        <v>118.9464950561523</v>
      </c>
      <c r="F1842">
        <f>(Table[[#This Row],[price_lag]] - Table[[#This Row],[price]]) / Table[[#This Row],[price]]</f>
        <v>4.8349516834992723E-2</v>
      </c>
    </row>
    <row r="1843" spans="1:6" hidden="1" x14ac:dyDescent="0.2">
      <c r="A1843" t="s">
        <v>507</v>
      </c>
      <c r="B1843" t="s">
        <v>350</v>
      </c>
      <c r="C1843">
        <v>38.181220160590279</v>
      </c>
      <c r="D1843">
        <v>137.452392578125</v>
      </c>
      <c r="E1843">
        <v>108.36032867431641</v>
      </c>
      <c r="F1843">
        <f>(Table[[#This Row],[price_lag]] - Table[[#This Row],[price]]) / Table[[#This Row],[price]]</f>
        <v>-0.21165192804682018</v>
      </c>
    </row>
    <row r="1844" spans="1:6" hidden="1" x14ac:dyDescent="0.2">
      <c r="A1844" t="s">
        <v>507</v>
      </c>
      <c r="B1844" t="s">
        <v>351</v>
      </c>
      <c r="C1844">
        <v>13.641984718595671</v>
      </c>
      <c r="D1844">
        <v>8176.4599609375</v>
      </c>
      <c r="E1844">
        <v>7244.39013671875</v>
      </c>
      <c r="F1844">
        <f>(Table[[#This Row],[price_lag]] - Table[[#This Row],[price]]) / Table[[#This Row],[price]]</f>
        <v>-0.11399429932656092</v>
      </c>
    </row>
    <row r="1845" spans="1:6" hidden="1" x14ac:dyDescent="0.2">
      <c r="A1845" t="s">
        <v>507</v>
      </c>
      <c r="B1845" t="s">
        <v>352</v>
      </c>
      <c r="C1845">
        <v>26.108169555664059</v>
      </c>
      <c r="D1845">
        <v>203.64372253417969</v>
      </c>
      <c r="E1845">
        <v>187.47270202636719</v>
      </c>
      <c r="F1845">
        <f>(Table[[#This Row],[price_lag]] - Table[[#This Row],[price]]) / Table[[#This Row],[price]]</f>
        <v>-7.9408391805931289E-2</v>
      </c>
    </row>
    <row r="1846" spans="1:6" hidden="1" x14ac:dyDescent="0.2">
      <c r="A1846" t="s">
        <v>507</v>
      </c>
      <c r="B1846" t="s">
        <v>353</v>
      </c>
      <c r="C1846">
        <v>30.855663827527291</v>
      </c>
      <c r="D1846">
        <v>78.661331176757812</v>
      </c>
      <c r="E1846">
        <v>95.505332946777344</v>
      </c>
      <c r="F1846">
        <f>(Table[[#This Row],[price_lag]] - Table[[#This Row],[price]]) / Table[[#This Row],[price]]</f>
        <v>0.21413318994271552</v>
      </c>
    </row>
    <row r="1847" spans="1:6" hidden="1" x14ac:dyDescent="0.2">
      <c r="A1847" t="s">
        <v>507</v>
      </c>
      <c r="B1847" t="s">
        <v>354</v>
      </c>
      <c r="C1847">
        <v>0</v>
      </c>
      <c r="D1847">
        <v>47.415798187255859</v>
      </c>
      <c r="E1847">
        <v>48.54302978515625</v>
      </c>
      <c r="F1847">
        <f>(Table[[#This Row],[price_lag]] - Table[[#This Row],[price]]) / Table[[#This Row],[price]]</f>
        <v>2.3773333804245889E-2</v>
      </c>
    </row>
    <row r="1848" spans="1:6" hidden="1" x14ac:dyDescent="0.2">
      <c r="A1848" t="s">
        <v>507</v>
      </c>
      <c r="B1848" t="s">
        <v>355</v>
      </c>
      <c r="C1848">
        <v>35.775046619942508</v>
      </c>
      <c r="D1848">
        <v>176.01322937011719</v>
      </c>
      <c r="E1848">
        <v>164.5310363769531</v>
      </c>
      <c r="F1848">
        <f>(Table[[#This Row],[price_lag]] - Table[[#This Row],[price]]) / Table[[#This Row],[price]]</f>
        <v>-6.5234829417393156E-2</v>
      </c>
    </row>
    <row r="1849" spans="1:6" hidden="1" x14ac:dyDescent="0.2">
      <c r="A1849" t="s">
        <v>507</v>
      </c>
      <c r="B1849" t="s">
        <v>356</v>
      </c>
      <c r="C1849">
        <v>9.0694276910079168</v>
      </c>
      <c r="D1849">
        <v>82.713180541992188</v>
      </c>
      <c r="E1849">
        <v>80.568069458007812</v>
      </c>
      <c r="F1849">
        <f>(Table[[#This Row],[price_lag]] - Table[[#This Row],[price]]) / Table[[#This Row],[price]]</f>
        <v>-2.5934331988301862E-2</v>
      </c>
    </row>
    <row r="1850" spans="1:6" hidden="1" x14ac:dyDescent="0.2">
      <c r="A1850" t="s">
        <v>507</v>
      </c>
      <c r="B1850" t="s">
        <v>357</v>
      </c>
      <c r="C1850">
        <v>17.825842439458611</v>
      </c>
      <c r="D1850">
        <v>63.459999084472663</v>
      </c>
      <c r="E1850">
        <v>40.689998626708977</v>
      </c>
      <c r="F1850">
        <f>(Table[[#This Row],[price_lag]] - Table[[#This Row],[price]]) / Table[[#This Row],[price]]</f>
        <v>-0.35880871078258542</v>
      </c>
    </row>
    <row r="1851" spans="1:6" hidden="1" x14ac:dyDescent="0.2">
      <c r="A1851" t="s">
        <v>507</v>
      </c>
      <c r="B1851" t="s">
        <v>358</v>
      </c>
      <c r="C1851">
        <v>15.14889318731767</v>
      </c>
      <c r="D1851">
        <v>95.741004943847656</v>
      </c>
      <c r="E1851">
        <v>95.26885986328125</v>
      </c>
      <c r="F1851">
        <f>(Table[[#This Row],[price_lag]] - Table[[#This Row],[price]]) / Table[[#This Row],[price]]</f>
        <v>-4.9314823971538689E-3</v>
      </c>
    </row>
    <row r="1852" spans="1:6" hidden="1" x14ac:dyDescent="0.2">
      <c r="A1852" t="s">
        <v>507</v>
      </c>
      <c r="B1852" t="s">
        <v>359</v>
      </c>
      <c r="C1852">
        <v>36.466925967056142</v>
      </c>
      <c r="D1852">
        <v>164.83050537109381</v>
      </c>
      <c r="E1852">
        <v>138.40748596191409</v>
      </c>
      <c r="F1852">
        <f>(Table[[#This Row],[price_lag]] - Table[[#This Row],[price]]) / Table[[#This Row],[price]]</f>
        <v>-0.16030418246726738</v>
      </c>
    </row>
    <row r="1853" spans="1:6" hidden="1" x14ac:dyDescent="0.2">
      <c r="A1853" t="s">
        <v>507</v>
      </c>
      <c r="B1853" t="s">
        <v>360</v>
      </c>
      <c r="C1853">
        <v>26.747618282542511</v>
      </c>
      <c r="D1853">
        <v>90.941902160644531</v>
      </c>
      <c r="E1853">
        <v>101.7899475097656</v>
      </c>
      <c r="F1853">
        <f>(Table[[#This Row],[price_lag]] - Table[[#This Row],[price]]) / Table[[#This Row],[price]]</f>
        <v>0.11928544588784289</v>
      </c>
    </row>
    <row r="1854" spans="1:6" hidden="1" x14ac:dyDescent="0.2">
      <c r="A1854" t="s">
        <v>507</v>
      </c>
      <c r="B1854" t="s">
        <v>361</v>
      </c>
      <c r="C1854">
        <v>15.20585669092385</v>
      </c>
      <c r="D1854">
        <v>100.9668884277344</v>
      </c>
      <c r="E1854">
        <v>95.182151794433594</v>
      </c>
      <c r="F1854">
        <f>(Table[[#This Row],[price_lag]] - Table[[#This Row],[price]]) / Table[[#This Row],[price]]</f>
        <v>-5.7293403049071392E-2</v>
      </c>
    </row>
    <row r="1855" spans="1:6" hidden="1" x14ac:dyDescent="0.2">
      <c r="A1855" t="s">
        <v>507</v>
      </c>
      <c r="B1855" t="s">
        <v>362</v>
      </c>
      <c r="C1855">
        <v>22.298246864380879</v>
      </c>
      <c r="D1855">
        <v>219.41474914550781</v>
      </c>
      <c r="E1855">
        <v>194.4042663574219</v>
      </c>
      <c r="F1855">
        <f>(Table[[#This Row],[price_lag]] - Table[[#This Row],[price]]) / Table[[#This Row],[price]]</f>
        <v>-0.11398724509399263</v>
      </c>
    </row>
    <row r="1856" spans="1:6" hidden="1" x14ac:dyDescent="0.2">
      <c r="A1856" t="s">
        <v>507</v>
      </c>
      <c r="B1856" t="s">
        <v>363</v>
      </c>
      <c r="C1856">
        <v>642.22473959173033</v>
      </c>
      <c r="D1856">
        <v>77.180000305175781</v>
      </c>
      <c r="E1856">
        <v>84.400001525878906</v>
      </c>
      <c r="F1856">
        <f>(Table[[#This Row],[price_lag]] - Table[[#This Row],[price]]) / Table[[#This Row],[price]]</f>
        <v>9.3547566625481637E-2</v>
      </c>
    </row>
    <row r="1857" spans="1:6" hidden="1" x14ac:dyDescent="0.2">
      <c r="A1857" t="s">
        <v>507</v>
      </c>
      <c r="B1857" t="s">
        <v>364</v>
      </c>
      <c r="C1857">
        <v>112.3170713099038</v>
      </c>
      <c r="D1857">
        <v>184.19999694824219</v>
      </c>
      <c r="E1857">
        <v>170.63999938964841</v>
      </c>
      <c r="F1857">
        <f>(Table[[#This Row],[price_lag]] - Table[[#This Row],[price]]) / Table[[#This Row],[price]]</f>
        <v>-7.3615623144684214E-2</v>
      </c>
    </row>
    <row r="1858" spans="1:6" hidden="1" x14ac:dyDescent="0.2">
      <c r="A1858" t="s">
        <v>507</v>
      </c>
      <c r="B1858" t="s">
        <v>365</v>
      </c>
      <c r="C1858">
        <v>21.39317837304953</v>
      </c>
      <c r="D1858">
        <v>630.6708984375</v>
      </c>
      <c r="E1858">
        <v>603.40264892578125</v>
      </c>
      <c r="F1858">
        <f>(Table[[#This Row],[price_lag]] - Table[[#This Row],[price]]) / Table[[#This Row],[price]]</f>
        <v>-4.3236891981660155E-2</v>
      </c>
    </row>
    <row r="1859" spans="1:6" hidden="1" x14ac:dyDescent="0.2">
      <c r="A1859" t="s">
        <v>507</v>
      </c>
      <c r="B1859" t="s">
        <v>366</v>
      </c>
      <c r="C1859">
        <v>29.500974572223171</v>
      </c>
      <c r="D1859">
        <v>135.70448303222659</v>
      </c>
      <c r="E1859">
        <v>150.57273864746091</v>
      </c>
      <c r="F1859">
        <f>(Table[[#This Row],[price_lag]] - Table[[#This Row],[price]]) / Table[[#This Row],[price]]</f>
        <v>0.10956348149311664</v>
      </c>
    </row>
    <row r="1860" spans="1:6" hidden="1" x14ac:dyDescent="0.2">
      <c r="A1860" t="s">
        <v>507</v>
      </c>
      <c r="B1860" t="s">
        <v>367</v>
      </c>
      <c r="C1860">
        <v>24.998286204972288</v>
      </c>
      <c r="D1860">
        <v>202.986083984375</v>
      </c>
      <c r="E1860">
        <v>217.30876159667969</v>
      </c>
      <c r="F1860">
        <f>(Table[[#This Row],[price_lag]] - Table[[#This Row],[price]]) / Table[[#This Row],[price]]</f>
        <v>7.0559899137751653E-2</v>
      </c>
    </row>
    <row r="1861" spans="1:6" hidden="1" x14ac:dyDescent="0.2">
      <c r="A1861" t="s">
        <v>507</v>
      </c>
      <c r="B1861" t="s">
        <v>368</v>
      </c>
      <c r="C1861">
        <v>19.025215080806181</v>
      </c>
      <c r="D1861">
        <v>85.232963562011719</v>
      </c>
      <c r="E1861">
        <v>65.099510192871094</v>
      </c>
      <c r="F1861">
        <f>(Table[[#This Row],[price_lag]] - Table[[#This Row],[price]]) / Table[[#This Row],[price]]</f>
        <v>-0.23621674675775434</v>
      </c>
    </row>
    <row r="1862" spans="1:6" hidden="1" x14ac:dyDescent="0.2">
      <c r="A1862" t="s">
        <v>507</v>
      </c>
      <c r="B1862" t="s">
        <v>369</v>
      </c>
      <c r="C1862">
        <v>24.53525467674331</v>
      </c>
      <c r="D1862">
        <v>99.122428894042969</v>
      </c>
      <c r="E1862">
        <v>86.591506958007812</v>
      </c>
      <c r="F1862">
        <f>(Table[[#This Row],[price_lag]] - Table[[#This Row],[price]]) / Table[[#This Row],[price]]</f>
        <v>-0.12641863275394613</v>
      </c>
    </row>
    <row r="1863" spans="1:6" hidden="1" x14ac:dyDescent="0.2">
      <c r="A1863" t="s">
        <v>507</v>
      </c>
      <c r="B1863" t="s">
        <v>370</v>
      </c>
      <c r="C1863">
        <v>32.856131636024351</v>
      </c>
      <c r="D1863">
        <v>145.89002990722659</v>
      </c>
      <c r="E1863">
        <v>145.45318603515619</v>
      </c>
      <c r="F1863">
        <f>(Table[[#This Row],[price_lag]] - Table[[#This Row],[price]]) / Table[[#This Row],[price]]</f>
        <v>-2.9943367092884455E-3</v>
      </c>
    </row>
    <row r="1864" spans="1:6" hidden="1" x14ac:dyDescent="0.2">
      <c r="A1864" t="s">
        <v>507</v>
      </c>
      <c r="B1864" t="s">
        <v>371</v>
      </c>
      <c r="C1864">
        <v>86.540876116071416</v>
      </c>
      <c r="D1864">
        <v>24.2314453125</v>
      </c>
      <c r="E1864">
        <v>23.625129699707031</v>
      </c>
      <c r="F1864">
        <f>(Table[[#This Row],[price_lag]] - Table[[#This Row],[price]]) / Table[[#This Row],[price]]</f>
        <v>-2.5021850945069118E-2</v>
      </c>
    </row>
    <row r="1865" spans="1:6" hidden="1" x14ac:dyDescent="0.2">
      <c r="A1865" t="s">
        <v>507</v>
      </c>
      <c r="B1865" t="s">
        <v>372</v>
      </c>
      <c r="C1865">
        <v>17.193176006448681</v>
      </c>
      <c r="D1865">
        <v>19.944084167480469</v>
      </c>
      <c r="E1865">
        <v>17.067594528198239</v>
      </c>
      <c r="F1865">
        <f>(Table[[#This Row],[price_lag]] - Table[[#This Row],[price]]) / Table[[#This Row],[price]]</f>
        <v>-0.14422771259521897</v>
      </c>
    </row>
    <row r="1866" spans="1:6" hidden="1" x14ac:dyDescent="0.2">
      <c r="A1866" t="s">
        <v>507</v>
      </c>
      <c r="B1866" t="s">
        <v>373</v>
      </c>
      <c r="C1866">
        <v>0</v>
      </c>
      <c r="D1866">
        <v>115.9146347045898</v>
      </c>
      <c r="E1866">
        <v>154.66658020019531</v>
      </c>
      <c r="F1866">
        <f>(Table[[#This Row],[price_lag]] - Table[[#This Row],[price]]) / Table[[#This Row],[price]]</f>
        <v>0.33431452028784314</v>
      </c>
    </row>
    <row r="1867" spans="1:6" hidden="1" x14ac:dyDescent="0.2">
      <c r="A1867" t="s">
        <v>507</v>
      </c>
      <c r="B1867" t="s">
        <v>374</v>
      </c>
      <c r="C1867">
        <v>2698.4720230102539</v>
      </c>
      <c r="D1867">
        <v>107.9388809204102</v>
      </c>
      <c r="E1867">
        <v>120.0856094360352</v>
      </c>
      <c r="F1867">
        <f>(Table[[#This Row],[price_lag]] - Table[[#This Row],[price]]) / Table[[#This Row],[price]]</f>
        <v>0.11253339308364249</v>
      </c>
    </row>
    <row r="1868" spans="1:6" hidden="1" x14ac:dyDescent="0.2">
      <c r="A1868" t="s">
        <v>507</v>
      </c>
      <c r="B1868" t="s">
        <v>375</v>
      </c>
      <c r="C1868">
        <v>0</v>
      </c>
      <c r="D1868">
        <v>81.463645935058594</v>
      </c>
      <c r="E1868">
        <v>92.454055786132812</v>
      </c>
      <c r="F1868">
        <f>(Table[[#This Row],[price_lag]] - Table[[#This Row],[price]]) / Table[[#This Row],[price]]</f>
        <v>0.13491183367652834</v>
      </c>
    </row>
    <row r="1869" spans="1:6" hidden="1" x14ac:dyDescent="0.2">
      <c r="A1869" t="s">
        <v>507</v>
      </c>
      <c r="B1869" t="s">
        <v>376</v>
      </c>
      <c r="C1869">
        <v>12.217767042569839</v>
      </c>
      <c r="D1869">
        <v>184.2439270019531</v>
      </c>
      <c r="E1869">
        <v>169.59172058105469</v>
      </c>
      <c r="F1869">
        <f>(Table[[#This Row],[price_lag]] - Table[[#This Row],[price]]) / Table[[#This Row],[price]]</f>
        <v>-7.9526129622405878E-2</v>
      </c>
    </row>
    <row r="1870" spans="1:6" hidden="1" x14ac:dyDescent="0.2">
      <c r="A1870" t="s">
        <v>507</v>
      </c>
      <c r="B1870" t="s">
        <v>377</v>
      </c>
      <c r="C1870">
        <v>85.16458783830916</v>
      </c>
      <c r="D1870">
        <v>333.84518432617188</v>
      </c>
      <c r="E1870">
        <v>314.31137084960938</v>
      </c>
      <c r="F1870">
        <f>(Table[[#This Row],[price_lag]] - Table[[#This Row],[price]]) / Table[[#This Row],[price]]</f>
        <v>-5.8511592779117834E-2</v>
      </c>
    </row>
    <row r="1871" spans="1:6" hidden="1" x14ac:dyDescent="0.2">
      <c r="A1871" t="s">
        <v>507</v>
      </c>
      <c r="B1871" t="s">
        <v>378</v>
      </c>
      <c r="C1871">
        <v>0</v>
      </c>
      <c r="D1871">
        <v>116.0240173339844</v>
      </c>
      <c r="E1871">
        <v>107.15283203125</v>
      </c>
      <c r="F1871">
        <f>(Table[[#This Row],[price_lag]] - Table[[#This Row],[price]]) / Table[[#This Row],[price]]</f>
        <v>-7.6459904652309937E-2</v>
      </c>
    </row>
    <row r="1872" spans="1:6" hidden="1" x14ac:dyDescent="0.2">
      <c r="A1872" t="s">
        <v>507</v>
      </c>
      <c r="B1872" t="s">
        <v>379</v>
      </c>
      <c r="C1872">
        <v>32.680086294809982</v>
      </c>
      <c r="D1872">
        <v>31.372882843017582</v>
      </c>
      <c r="E1872">
        <v>35.258590698242188</v>
      </c>
      <c r="F1872">
        <f>(Table[[#This Row],[price_lag]] - Table[[#This Row],[price]]) / Table[[#This Row],[price]]</f>
        <v>0.12385561998455037</v>
      </c>
    </row>
    <row r="1873" spans="1:6" hidden="1" x14ac:dyDescent="0.2">
      <c r="A1873" t="s">
        <v>507</v>
      </c>
      <c r="B1873" t="s">
        <v>380</v>
      </c>
      <c r="C1873">
        <v>10.981393247798771</v>
      </c>
      <c r="D1873">
        <v>74.344032287597656</v>
      </c>
      <c r="E1873">
        <v>81.958885192871094</v>
      </c>
      <c r="F1873">
        <f>(Table[[#This Row],[price_lag]] - Table[[#This Row],[price]]) / Table[[#This Row],[price]]</f>
        <v>0.1024272247678954</v>
      </c>
    </row>
    <row r="1874" spans="1:6" hidden="1" x14ac:dyDescent="0.2">
      <c r="A1874" t="s">
        <v>507</v>
      </c>
      <c r="B1874" t="s">
        <v>381</v>
      </c>
      <c r="C1874">
        <v>20.830081664409839</v>
      </c>
      <c r="D1874">
        <v>161.64143371582031</v>
      </c>
      <c r="E1874">
        <v>165.8681335449219</v>
      </c>
      <c r="F1874">
        <f>(Table[[#This Row],[price_lag]] - Table[[#This Row],[price]]) / Table[[#This Row],[price]]</f>
        <v>2.6148616304236056E-2</v>
      </c>
    </row>
    <row r="1875" spans="1:6" hidden="1" x14ac:dyDescent="0.2">
      <c r="A1875" t="s">
        <v>507</v>
      </c>
      <c r="B1875" t="s">
        <v>382</v>
      </c>
      <c r="C1875">
        <v>15.279041541076451</v>
      </c>
      <c r="D1875">
        <v>220.78215026855469</v>
      </c>
      <c r="E1875">
        <v>265.80224609375</v>
      </c>
      <c r="F1875">
        <f>(Table[[#This Row],[price_lag]] - Table[[#This Row],[price]]) / Table[[#This Row],[price]]</f>
        <v>0.20391184600038467</v>
      </c>
    </row>
    <row r="1876" spans="1:6" hidden="1" x14ac:dyDescent="0.2">
      <c r="A1876" t="s">
        <v>507</v>
      </c>
      <c r="B1876" t="s">
        <v>383</v>
      </c>
      <c r="C1876">
        <v>25.244983274545241</v>
      </c>
      <c r="D1876">
        <v>101.4848327636719</v>
      </c>
      <c r="E1876">
        <v>108.905876159668</v>
      </c>
      <c r="F1876">
        <f>(Table[[#This Row],[price_lag]] - Table[[#This Row],[price]]) / Table[[#This Row],[price]]</f>
        <v>7.3124655122381726E-2</v>
      </c>
    </row>
    <row r="1877" spans="1:6" hidden="1" x14ac:dyDescent="0.2">
      <c r="A1877" t="s">
        <v>507</v>
      </c>
      <c r="B1877" t="s">
        <v>384</v>
      </c>
      <c r="C1877">
        <v>0</v>
      </c>
      <c r="D1877">
        <v>112.3173446655273</v>
      </c>
      <c r="E1877">
        <v>107.4672164916992</v>
      </c>
      <c r="F1877">
        <f>(Table[[#This Row],[price_lag]] - Table[[#This Row],[price]]) / Table[[#This Row],[price]]</f>
        <v>-4.3182361444453816E-2</v>
      </c>
    </row>
    <row r="1878" spans="1:6" hidden="1" x14ac:dyDescent="0.2">
      <c r="A1878" t="s">
        <v>507</v>
      </c>
      <c r="B1878" t="s">
        <v>385</v>
      </c>
      <c r="C1878">
        <v>35.890642801920578</v>
      </c>
      <c r="D1878">
        <v>81.830665588378906</v>
      </c>
      <c r="E1878">
        <v>80.36865234375</v>
      </c>
      <c r="F1878">
        <f>(Table[[#This Row],[price_lag]] - Table[[#This Row],[price]]) / Table[[#This Row],[price]]</f>
        <v>-1.786632473433691E-2</v>
      </c>
    </row>
    <row r="1879" spans="1:6" hidden="1" x14ac:dyDescent="0.2">
      <c r="A1879" t="s">
        <v>507</v>
      </c>
      <c r="B1879" t="s">
        <v>386</v>
      </c>
      <c r="C1879">
        <v>67.522060169893152</v>
      </c>
      <c r="D1879">
        <v>183.6600036621094</v>
      </c>
      <c r="E1879">
        <v>154.94999694824219</v>
      </c>
      <c r="F1879">
        <f>(Table[[#This Row],[price_lag]] - Table[[#This Row],[price]]) / Table[[#This Row],[price]]</f>
        <v>-0.15632149701296305</v>
      </c>
    </row>
    <row r="1880" spans="1:6" hidden="1" x14ac:dyDescent="0.2">
      <c r="A1880" t="s">
        <v>507</v>
      </c>
      <c r="B1880" t="s">
        <v>387</v>
      </c>
      <c r="C1880">
        <v>22.03815294348675</v>
      </c>
      <c r="D1880">
        <v>283.85140991210938</v>
      </c>
      <c r="E1880">
        <v>290.058349609375</v>
      </c>
      <c r="F1880">
        <f>(Table[[#This Row],[price_lag]] - Table[[#This Row],[price]]) / Table[[#This Row],[price]]</f>
        <v>2.1866862310768571E-2</v>
      </c>
    </row>
    <row r="1881" spans="1:6" hidden="1" x14ac:dyDescent="0.2">
      <c r="A1881" t="s">
        <v>507</v>
      </c>
      <c r="B1881" t="s">
        <v>388</v>
      </c>
      <c r="C1881">
        <v>6.0400939361094368</v>
      </c>
      <c r="D1881">
        <v>107.9968795776367</v>
      </c>
      <c r="E1881">
        <v>102.2013473510742</v>
      </c>
      <c r="F1881">
        <f>(Table[[#This Row],[price_lag]] - Table[[#This Row],[price]]) / Table[[#This Row],[price]]</f>
        <v>-5.3663885931039448E-2</v>
      </c>
    </row>
    <row r="1882" spans="1:6" hidden="1" x14ac:dyDescent="0.2">
      <c r="A1882" t="s">
        <v>507</v>
      </c>
      <c r="B1882" t="s">
        <v>389</v>
      </c>
      <c r="C1882">
        <v>38.654653308461008</v>
      </c>
      <c r="D1882">
        <v>318.51434326171881</v>
      </c>
      <c r="E1882">
        <v>253.88923645019531</v>
      </c>
      <c r="F1882">
        <f>(Table[[#This Row],[price_lag]] - Table[[#This Row],[price]]) / Table[[#This Row],[price]]</f>
        <v>-0.20289543682628428</v>
      </c>
    </row>
    <row r="1883" spans="1:6" hidden="1" x14ac:dyDescent="0.2">
      <c r="A1883" t="s">
        <v>507</v>
      </c>
      <c r="B1883" t="s">
        <v>390</v>
      </c>
      <c r="C1883">
        <v>13.216392143622979</v>
      </c>
      <c r="D1883">
        <v>151.1955261230469</v>
      </c>
      <c r="E1883">
        <v>151.056884765625</v>
      </c>
      <c r="F1883">
        <f>(Table[[#This Row],[price_lag]] - Table[[#This Row],[price]]) / Table[[#This Row],[price]]</f>
        <v>-9.1696732685776316E-4</v>
      </c>
    </row>
    <row r="1884" spans="1:6" hidden="1" x14ac:dyDescent="0.2">
      <c r="A1884" t="s">
        <v>507</v>
      </c>
      <c r="B1884" t="s">
        <v>391</v>
      </c>
      <c r="C1884">
        <v>18.623120857007571</v>
      </c>
      <c r="D1884">
        <v>147.4951171875</v>
      </c>
      <c r="E1884">
        <v>166.1144104003906</v>
      </c>
      <c r="F1884">
        <f>(Table[[#This Row],[price_lag]] - Table[[#This Row],[price]]) / Table[[#This Row],[price]]</f>
        <v>0.12623667527394294</v>
      </c>
    </row>
    <row r="1885" spans="1:6" hidden="1" x14ac:dyDescent="0.2">
      <c r="A1885" t="s">
        <v>507</v>
      </c>
      <c r="B1885" t="s">
        <v>392</v>
      </c>
      <c r="C1885">
        <v>12.04417332881639</v>
      </c>
      <c r="D1885">
        <v>229.32106018066409</v>
      </c>
      <c r="E1885">
        <v>218.78602600097659</v>
      </c>
      <c r="F1885">
        <f>(Table[[#This Row],[price_lag]] - Table[[#This Row],[price]]) / Table[[#This Row],[price]]</f>
        <v>-4.5940107600181912E-2</v>
      </c>
    </row>
    <row r="1886" spans="1:6" hidden="1" x14ac:dyDescent="0.2">
      <c r="A1886" t="s">
        <v>507</v>
      </c>
      <c r="B1886" t="s">
        <v>393</v>
      </c>
      <c r="C1886">
        <v>12.993941015126749</v>
      </c>
      <c r="D1886">
        <v>152.8087463378906</v>
      </c>
      <c r="E1886">
        <v>137.09657287597659</v>
      </c>
      <c r="F1886">
        <f>(Table[[#This Row],[price_lag]] - Table[[#This Row],[price]]) / Table[[#This Row],[price]]</f>
        <v>-0.10282247475004642</v>
      </c>
    </row>
    <row r="1887" spans="1:6" hidden="1" x14ac:dyDescent="0.2">
      <c r="A1887" t="s">
        <v>507</v>
      </c>
      <c r="B1887" t="s">
        <v>394</v>
      </c>
      <c r="C1887">
        <v>25.475488267503341</v>
      </c>
      <c r="D1887">
        <v>113.1111679077148</v>
      </c>
      <c r="E1887">
        <v>130.6937561035156</v>
      </c>
      <c r="F1887">
        <f>(Table[[#This Row],[price_lag]] - Table[[#This Row],[price]]) / Table[[#This Row],[price]]</f>
        <v>0.1554452006909352</v>
      </c>
    </row>
    <row r="1888" spans="1:6" hidden="1" x14ac:dyDescent="0.2">
      <c r="A1888" t="s">
        <v>507</v>
      </c>
      <c r="B1888" t="s">
        <v>395</v>
      </c>
      <c r="C1888">
        <v>53.909558835236922</v>
      </c>
      <c r="D1888">
        <v>49.596794128417969</v>
      </c>
      <c r="E1888">
        <v>55.3604736328125</v>
      </c>
      <c r="F1888">
        <f>(Table[[#This Row],[price_lag]] - Table[[#This Row],[price]]) / Table[[#This Row],[price]]</f>
        <v>0.11621072703753767</v>
      </c>
    </row>
    <row r="1889" spans="1:6" hidden="1" x14ac:dyDescent="0.2">
      <c r="A1889" t="s">
        <v>507</v>
      </c>
      <c r="B1889" t="s">
        <v>396</v>
      </c>
      <c r="C1889">
        <v>38.38185514330501</v>
      </c>
      <c r="D1889">
        <v>70.503936767578125</v>
      </c>
      <c r="E1889">
        <v>71.524169921875</v>
      </c>
      <c r="F1889">
        <f>(Table[[#This Row],[price_lag]] - Table[[#This Row],[price]]) / Table[[#This Row],[price]]</f>
        <v>1.4470584212342005E-2</v>
      </c>
    </row>
    <row r="1890" spans="1:6" hidden="1" x14ac:dyDescent="0.2">
      <c r="A1890" t="s">
        <v>507</v>
      </c>
      <c r="B1890" t="s">
        <v>397</v>
      </c>
      <c r="C1890">
        <v>20.478160719519341</v>
      </c>
      <c r="D1890">
        <v>698.71484375</v>
      </c>
      <c r="E1890">
        <v>631.54241943359375</v>
      </c>
      <c r="F1890">
        <f>(Table[[#This Row],[price_lag]] - Table[[#This Row],[price]]) / Table[[#This Row],[price]]</f>
        <v>-9.613710788780741E-2</v>
      </c>
    </row>
    <row r="1891" spans="1:6" hidden="1" x14ac:dyDescent="0.2">
      <c r="A1891" t="s">
        <v>507</v>
      </c>
      <c r="B1891" t="s">
        <v>398</v>
      </c>
      <c r="C1891">
        <v>10.12281349727086</v>
      </c>
      <c r="D1891">
        <v>22.675102233886719</v>
      </c>
      <c r="E1891">
        <v>21.047365188598629</v>
      </c>
      <c r="F1891">
        <f>(Table[[#This Row],[price_lag]] - Table[[#This Row],[price]]) / Table[[#This Row],[price]]</f>
        <v>-7.1785213071962437E-2</v>
      </c>
    </row>
    <row r="1892" spans="1:6" hidden="1" x14ac:dyDescent="0.2">
      <c r="A1892" t="s">
        <v>507</v>
      </c>
      <c r="B1892" t="s">
        <v>399</v>
      </c>
      <c r="C1892">
        <v>30.448148294460559</v>
      </c>
      <c r="D1892">
        <v>198.52192687988281</v>
      </c>
      <c r="E1892">
        <v>239.6394958496094</v>
      </c>
      <c r="F1892">
        <f>(Table[[#This Row],[price_lag]] - Table[[#This Row],[price]]) / Table[[#This Row],[price]]</f>
        <v>0.2071185264819895</v>
      </c>
    </row>
    <row r="1893" spans="1:6" hidden="1" x14ac:dyDescent="0.2">
      <c r="A1893" t="s">
        <v>507</v>
      </c>
      <c r="B1893" t="s">
        <v>400</v>
      </c>
      <c r="C1893">
        <v>24.199291797394451</v>
      </c>
      <c r="D1893">
        <v>227.47334289550781</v>
      </c>
      <c r="E1893">
        <v>222.3713684082031</v>
      </c>
      <c r="F1893">
        <f>(Table[[#This Row],[price_lag]] - Table[[#This Row],[price]]) / Table[[#This Row],[price]]</f>
        <v>-2.2428889567285955E-2</v>
      </c>
    </row>
    <row r="1894" spans="1:6" hidden="1" x14ac:dyDescent="0.2">
      <c r="A1894" t="s">
        <v>507</v>
      </c>
      <c r="B1894" t="s">
        <v>401</v>
      </c>
      <c r="C1894">
        <v>35.351295577927168</v>
      </c>
      <c r="D1894">
        <v>110.9302444458008</v>
      </c>
      <c r="E1894">
        <v>105.50083160400391</v>
      </c>
      <c r="F1894">
        <f>(Table[[#This Row],[price_lag]] - Table[[#This Row],[price]]) / Table[[#This Row],[price]]</f>
        <v>-4.8944387249138681E-2</v>
      </c>
    </row>
    <row r="1895" spans="1:6" hidden="1" x14ac:dyDescent="0.2">
      <c r="A1895" t="s">
        <v>507</v>
      </c>
      <c r="B1895" t="s">
        <v>402</v>
      </c>
      <c r="C1895">
        <v>43.177839860587078</v>
      </c>
      <c r="D1895">
        <v>281.04766845703119</v>
      </c>
      <c r="E1895">
        <v>255.36224365234381</v>
      </c>
      <c r="F1895">
        <f>(Table[[#This Row],[price_lag]] - Table[[#This Row],[price]]) / Table[[#This Row],[price]]</f>
        <v>-9.1391702146834841E-2</v>
      </c>
    </row>
    <row r="1896" spans="1:6" hidden="1" x14ac:dyDescent="0.2">
      <c r="A1896" t="s">
        <v>507</v>
      </c>
      <c r="B1896" t="s">
        <v>403</v>
      </c>
      <c r="C1896">
        <v>52.105795253406868</v>
      </c>
      <c r="D1896">
        <v>45.853099822998047</v>
      </c>
      <c r="E1896">
        <v>53.553504943847663</v>
      </c>
      <c r="F1896">
        <f>(Table[[#This Row],[price_lag]] - Table[[#This Row],[price]]) / Table[[#This Row],[price]]</f>
        <v>0.1679364132539499</v>
      </c>
    </row>
    <row r="1897" spans="1:6" hidden="1" x14ac:dyDescent="0.2">
      <c r="A1897" t="s">
        <v>507</v>
      </c>
      <c r="B1897" t="s">
        <v>404</v>
      </c>
      <c r="C1897">
        <v>29.908745360761671</v>
      </c>
      <c r="D1897">
        <v>515.62677001953125</v>
      </c>
      <c r="E1897">
        <v>585.70831298828125</v>
      </c>
      <c r="F1897">
        <f>(Table[[#This Row],[price_lag]] - Table[[#This Row],[price]]) / Table[[#This Row],[price]]</f>
        <v>0.13591525313182518</v>
      </c>
    </row>
    <row r="1898" spans="1:6" hidden="1" x14ac:dyDescent="0.2">
      <c r="A1898" t="s">
        <v>507</v>
      </c>
      <c r="B1898" t="s">
        <v>405</v>
      </c>
      <c r="C1898">
        <v>20.810739729139542</v>
      </c>
      <c r="D1898">
        <v>149.83732604980469</v>
      </c>
      <c r="E1898">
        <v>126.79660797119141</v>
      </c>
      <c r="F1898">
        <f>(Table[[#This Row],[price_lag]] - Table[[#This Row],[price]]) / Table[[#This Row],[price]]</f>
        <v>-0.15377155136200668</v>
      </c>
    </row>
    <row r="1899" spans="1:6" hidden="1" x14ac:dyDescent="0.2">
      <c r="A1899" t="s">
        <v>507</v>
      </c>
      <c r="B1899" t="s">
        <v>406</v>
      </c>
      <c r="C1899">
        <v>27.88796100801634</v>
      </c>
      <c r="D1899">
        <v>229.79679870605469</v>
      </c>
      <c r="E1899">
        <v>203.54158020019531</v>
      </c>
      <c r="F1899">
        <f>(Table[[#This Row],[price_lag]] - Table[[#This Row],[price]]) / Table[[#This Row],[price]]</f>
        <v>-0.1142540655644373</v>
      </c>
    </row>
    <row r="1900" spans="1:6" hidden="1" x14ac:dyDescent="0.2">
      <c r="A1900" t="s">
        <v>507</v>
      </c>
      <c r="B1900" t="s">
        <v>407</v>
      </c>
      <c r="C1900">
        <v>43.36531789679276</v>
      </c>
      <c r="D1900">
        <v>494.3646240234375</v>
      </c>
      <c r="E1900">
        <v>505.28005981445312</v>
      </c>
      <c r="F1900">
        <f>(Table[[#This Row],[price_lag]] - Table[[#This Row],[price]]) / Table[[#This Row],[price]]</f>
        <v>2.2079726704915138E-2</v>
      </c>
    </row>
    <row r="1901" spans="1:6" hidden="1" x14ac:dyDescent="0.2">
      <c r="A1901" t="s">
        <v>507</v>
      </c>
      <c r="B1901" t="s">
        <v>408</v>
      </c>
      <c r="C1901">
        <v>46.848652871806969</v>
      </c>
      <c r="D1901">
        <v>333.56240844726562</v>
      </c>
      <c r="E1901">
        <v>266.61941528320312</v>
      </c>
      <c r="F1901">
        <f>(Table[[#This Row],[price_lag]] - Table[[#This Row],[price]]) / Table[[#This Row],[price]]</f>
        <v>-0.20069105951022001</v>
      </c>
    </row>
    <row r="1902" spans="1:6" hidden="1" x14ac:dyDescent="0.2">
      <c r="A1902" t="s">
        <v>507</v>
      </c>
      <c r="B1902" t="s">
        <v>409</v>
      </c>
      <c r="C1902">
        <v>30.932870710858641</v>
      </c>
      <c r="D1902">
        <v>199.20768737792969</v>
      </c>
      <c r="E1902">
        <v>216.67108154296881</v>
      </c>
      <c r="F1902">
        <f>(Table[[#This Row],[price_lag]] - Table[[#This Row],[price]]) / Table[[#This Row],[price]]</f>
        <v>8.7664258317040722E-2</v>
      </c>
    </row>
    <row r="1903" spans="1:6" hidden="1" x14ac:dyDescent="0.2">
      <c r="A1903" t="s">
        <v>507</v>
      </c>
      <c r="B1903" t="s">
        <v>410</v>
      </c>
      <c r="C1903">
        <v>11.76472537868576</v>
      </c>
      <c r="D1903">
        <v>36.649707794189453</v>
      </c>
      <c r="E1903">
        <v>40.799354553222663</v>
      </c>
      <c r="F1903">
        <f>(Table[[#This Row],[price_lag]] - Table[[#This Row],[price]]) / Table[[#This Row],[price]]</f>
        <v>0.11322455235757996</v>
      </c>
    </row>
    <row r="1904" spans="1:6" hidden="1" x14ac:dyDescent="0.2">
      <c r="A1904" t="s">
        <v>507</v>
      </c>
      <c r="B1904" t="s">
        <v>411</v>
      </c>
      <c r="C1904">
        <v>13.43082838420627</v>
      </c>
      <c r="D1904">
        <v>84.882835388183594</v>
      </c>
      <c r="E1904">
        <v>84.015342712402344</v>
      </c>
      <c r="F1904">
        <f>(Table[[#This Row],[price_lag]] - Table[[#This Row],[price]]) / Table[[#This Row],[price]]</f>
        <v>-1.0219883346427566E-2</v>
      </c>
    </row>
    <row r="1905" spans="1:6" hidden="1" x14ac:dyDescent="0.2">
      <c r="A1905" t="s">
        <v>507</v>
      </c>
      <c r="B1905" t="s">
        <v>412</v>
      </c>
      <c r="C1905">
        <v>20.13837723504929</v>
      </c>
      <c r="D1905">
        <v>84.581184387207031</v>
      </c>
      <c r="E1905">
        <v>69.730705261230469</v>
      </c>
      <c r="F1905">
        <f>(Table[[#This Row],[price_lag]] - Table[[#This Row],[price]]) / Table[[#This Row],[price]]</f>
        <v>-0.17557662775200755</v>
      </c>
    </row>
    <row r="1906" spans="1:6" hidden="1" x14ac:dyDescent="0.2">
      <c r="A1906" t="s">
        <v>507</v>
      </c>
      <c r="B1906" t="s">
        <v>413</v>
      </c>
      <c r="C1906">
        <v>143.50806000412149</v>
      </c>
      <c r="D1906">
        <v>213.53999328613281</v>
      </c>
      <c r="E1906">
        <v>159.2279968261719</v>
      </c>
      <c r="F1906">
        <f>(Table[[#This Row],[price_lag]] - Table[[#This Row],[price]]) / Table[[#This Row],[price]]</f>
        <v>-0.25434109847135555</v>
      </c>
    </row>
    <row r="1907" spans="1:6" hidden="1" x14ac:dyDescent="0.2">
      <c r="A1907" t="s">
        <v>507</v>
      </c>
      <c r="B1907" t="s">
        <v>414</v>
      </c>
      <c r="C1907">
        <v>43.718624114990227</v>
      </c>
      <c r="D1907">
        <v>335.759033203125</v>
      </c>
      <c r="E1907">
        <v>346.86322021484381</v>
      </c>
      <c r="F1907">
        <f>(Table[[#This Row],[price_lag]] - Table[[#This Row],[price]]) / Table[[#This Row],[price]]</f>
        <v>3.3071893571366938E-2</v>
      </c>
    </row>
    <row r="1908" spans="1:6" hidden="1" x14ac:dyDescent="0.2">
      <c r="A1908" t="s">
        <v>507</v>
      </c>
      <c r="B1908" t="s">
        <v>415</v>
      </c>
      <c r="C1908">
        <v>19.929409027099609</v>
      </c>
      <c r="D1908">
        <v>162.62397766113281</v>
      </c>
      <c r="E1908">
        <v>160.0292663574219</v>
      </c>
      <c r="F1908">
        <f>(Table[[#This Row],[price_lag]] - Table[[#This Row],[price]]) / Table[[#This Row],[price]]</f>
        <v>-1.5955281263121176E-2</v>
      </c>
    </row>
    <row r="1909" spans="1:6" hidden="1" x14ac:dyDescent="0.2">
      <c r="A1909" t="s">
        <v>507</v>
      </c>
      <c r="B1909" t="s">
        <v>416</v>
      </c>
      <c r="C1909">
        <v>21.002614616167431</v>
      </c>
      <c r="D1909">
        <v>84.850563049316406</v>
      </c>
      <c r="E1909">
        <v>62.673698425292969</v>
      </c>
      <c r="F1909">
        <f>(Table[[#This Row],[price_lag]] - Table[[#This Row],[price]]) / Table[[#This Row],[price]]</f>
        <v>-0.26136378860720011</v>
      </c>
    </row>
    <row r="1910" spans="1:6" hidden="1" x14ac:dyDescent="0.2">
      <c r="A1910" t="s">
        <v>507</v>
      </c>
      <c r="B1910" t="s">
        <v>417</v>
      </c>
      <c r="C1910">
        <v>0</v>
      </c>
      <c r="D1910">
        <v>105.582275390625</v>
      </c>
      <c r="E1910">
        <v>114.9591751098633</v>
      </c>
      <c r="F1910">
        <f>(Table[[#This Row],[price_lag]] - Table[[#This Row],[price]]) / Table[[#This Row],[price]]</f>
        <v>8.881130553917671E-2</v>
      </c>
    </row>
    <row r="1911" spans="1:6" hidden="1" x14ac:dyDescent="0.2">
      <c r="A1911" t="s">
        <v>507</v>
      </c>
      <c r="B1911" t="s">
        <v>418</v>
      </c>
      <c r="C1911">
        <v>46.594503947666709</v>
      </c>
      <c r="D1911">
        <v>52.185844421386719</v>
      </c>
      <c r="E1911">
        <v>44.203411102294922</v>
      </c>
      <c r="F1911">
        <f>(Table[[#This Row],[price_lag]] - Table[[#This Row],[price]]) / Table[[#This Row],[price]]</f>
        <v>-0.15296165861829858</v>
      </c>
    </row>
    <row r="1912" spans="1:6" hidden="1" x14ac:dyDescent="0.2">
      <c r="A1912" t="s">
        <v>507</v>
      </c>
      <c r="B1912" t="s">
        <v>419</v>
      </c>
      <c r="C1912">
        <v>16.815950037018069</v>
      </c>
      <c r="D1912">
        <v>330.93789672851562</v>
      </c>
      <c r="E1912">
        <v>330.16983032226562</v>
      </c>
      <c r="F1912">
        <f>(Table[[#This Row],[price_lag]] - Table[[#This Row],[price]]) / Table[[#This Row],[price]]</f>
        <v>-2.3208777654137387E-3</v>
      </c>
    </row>
    <row r="1913" spans="1:6" hidden="1" x14ac:dyDescent="0.2">
      <c r="A1913" t="s">
        <v>507</v>
      </c>
      <c r="B1913" t="s">
        <v>420</v>
      </c>
      <c r="C1913">
        <v>97.132357429055602</v>
      </c>
      <c r="D1913">
        <v>66.050003051757812</v>
      </c>
      <c r="E1913">
        <v>76.040000915527344</v>
      </c>
      <c r="F1913">
        <f>(Table[[#This Row],[price_lag]] - Table[[#This Row],[price]]) / Table[[#This Row],[price]]</f>
        <v>0.15124901441626298</v>
      </c>
    </row>
    <row r="1914" spans="1:6" hidden="1" x14ac:dyDescent="0.2">
      <c r="A1914" t="s">
        <v>507</v>
      </c>
      <c r="B1914" t="s">
        <v>421</v>
      </c>
      <c r="C1914">
        <v>39.856250762939453</v>
      </c>
      <c r="D1914">
        <v>79.712501525878906</v>
      </c>
      <c r="E1914">
        <v>89.727508544921875</v>
      </c>
      <c r="F1914">
        <f>(Table[[#This Row],[price_lag]] - Table[[#This Row],[price]]) / Table[[#This Row],[price]]</f>
        <v>0.12563910086037841</v>
      </c>
    </row>
    <row r="1915" spans="1:6" hidden="1" x14ac:dyDescent="0.2">
      <c r="A1915" t="s">
        <v>507</v>
      </c>
      <c r="B1915" t="s">
        <v>422</v>
      </c>
      <c r="C1915">
        <v>18.66071007468484</v>
      </c>
      <c r="D1915">
        <v>32.842849731445312</v>
      </c>
      <c r="E1915">
        <v>33.057323455810547</v>
      </c>
      <c r="F1915">
        <f>(Table[[#This Row],[price_lag]] - Table[[#This Row],[price]]) / Table[[#This Row],[price]]</f>
        <v>6.5303019110393148E-3</v>
      </c>
    </row>
    <row r="1916" spans="1:6" hidden="1" x14ac:dyDescent="0.2">
      <c r="A1916" t="s">
        <v>507</v>
      </c>
      <c r="B1916" t="s">
        <v>423</v>
      </c>
      <c r="C1916">
        <v>14.7810884224352</v>
      </c>
      <c r="D1916">
        <v>76.270416259765625</v>
      </c>
      <c r="E1916">
        <v>74.17535400390625</v>
      </c>
      <c r="F1916">
        <f>(Table[[#This Row],[price_lag]] - Table[[#This Row],[price]]) / Table[[#This Row],[price]]</f>
        <v>-2.746887139993974E-2</v>
      </c>
    </row>
    <row r="1917" spans="1:6" hidden="1" x14ac:dyDescent="0.2">
      <c r="A1917" t="s">
        <v>507</v>
      </c>
      <c r="B1917" t="s">
        <v>424</v>
      </c>
      <c r="C1917">
        <v>32.088879144244892</v>
      </c>
      <c r="D1917">
        <v>88.237358093261719</v>
      </c>
      <c r="E1917">
        <v>96.071746826171875</v>
      </c>
      <c r="F1917">
        <f>(Table[[#This Row],[price_lag]] - Table[[#This Row],[price]]) / Table[[#This Row],[price]]</f>
        <v>8.8787662076528467E-2</v>
      </c>
    </row>
    <row r="1918" spans="1:6" hidden="1" x14ac:dyDescent="0.2">
      <c r="A1918" t="s">
        <v>507</v>
      </c>
      <c r="B1918" t="s">
        <v>425</v>
      </c>
      <c r="C1918">
        <v>9.4684471130371097</v>
      </c>
      <c r="D1918">
        <v>94.684471130371094</v>
      </c>
      <c r="E1918">
        <v>86.927680969238281</v>
      </c>
      <c r="F1918">
        <f>(Table[[#This Row],[price_lag]] - Table[[#This Row],[price]]) / Table[[#This Row],[price]]</f>
        <v>-8.1922516633720063E-2</v>
      </c>
    </row>
    <row r="1919" spans="1:6" hidden="1" x14ac:dyDescent="0.2">
      <c r="A1919" t="s">
        <v>507</v>
      </c>
      <c r="B1919" t="s">
        <v>426</v>
      </c>
      <c r="C1919">
        <v>20.536819626303281</v>
      </c>
      <c r="D1919">
        <v>111.7202987670898</v>
      </c>
      <c r="E1919">
        <v>123.7917938232422</v>
      </c>
      <c r="F1919">
        <f>(Table[[#This Row],[price_lag]] - Table[[#This Row],[price]]) / Table[[#This Row],[price]]</f>
        <v>0.10805104523859707</v>
      </c>
    </row>
    <row r="1920" spans="1:6" hidden="1" x14ac:dyDescent="0.2">
      <c r="A1920" t="s">
        <v>507</v>
      </c>
      <c r="B1920" t="s">
        <v>427</v>
      </c>
      <c r="C1920">
        <v>29.077335902622771</v>
      </c>
      <c r="D1920">
        <v>203.5413513183594</v>
      </c>
      <c r="E1920">
        <v>225.5301513671875</v>
      </c>
      <c r="F1920">
        <f>(Table[[#This Row],[price_lag]] - Table[[#This Row],[price]]) / Table[[#This Row],[price]]</f>
        <v>0.10803111950669608</v>
      </c>
    </row>
    <row r="1921" spans="1:6" hidden="1" x14ac:dyDescent="0.2">
      <c r="A1921" t="s">
        <v>507</v>
      </c>
      <c r="B1921" t="s">
        <v>428</v>
      </c>
      <c r="C1921">
        <v>62.606331351753717</v>
      </c>
      <c r="D1921">
        <v>358.10821533203119</v>
      </c>
      <c r="E1921">
        <v>369.69088745117188</v>
      </c>
      <c r="F1921">
        <f>(Table[[#This Row],[price_lag]] - Table[[#This Row],[price]]) / Table[[#This Row],[price]]</f>
        <v>3.2344055855857555E-2</v>
      </c>
    </row>
    <row r="1922" spans="1:6" hidden="1" x14ac:dyDescent="0.2">
      <c r="A1922" t="s">
        <v>507</v>
      </c>
      <c r="B1922" t="s">
        <v>429</v>
      </c>
      <c r="C1922">
        <v>14.203703844988789</v>
      </c>
      <c r="D1922">
        <v>30.680000305175781</v>
      </c>
      <c r="E1922">
        <v>34.240001678466797</v>
      </c>
      <c r="F1922">
        <f>(Table[[#This Row],[price_lag]] - Table[[#This Row],[price]]) / Table[[#This Row],[price]]</f>
        <v>0.11603654947455903</v>
      </c>
    </row>
    <row r="1923" spans="1:6" hidden="1" x14ac:dyDescent="0.2">
      <c r="A1923" t="s">
        <v>507</v>
      </c>
      <c r="B1923" t="s">
        <v>430</v>
      </c>
      <c r="C1923">
        <v>8.2789470494719986</v>
      </c>
      <c r="D1923">
        <v>63.913471221923828</v>
      </c>
      <c r="E1923">
        <v>52.204254150390618</v>
      </c>
      <c r="F1923">
        <f>(Table[[#This Row],[price_lag]] - Table[[#This Row],[price]]) / Table[[#This Row],[price]]</f>
        <v>-0.1832042110633583</v>
      </c>
    </row>
    <row r="1924" spans="1:6" hidden="1" x14ac:dyDescent="0.2">
      <c r="A1924" t="s">
        <v>507</v>
      </c>
      <c r="B1924" t="s">
        <v>431</v>
      </c>
      <c r="C1924">
        <v>63.709422805546467</v>
      </c>
      <c r="D1924">
        <v>486.739990234375</v>
      </c>
      <c r="E1924">
        <v>428.85000610351562</v>
      </c>
      <c r="F1924">
        <f>(Table[[#This Row],[price_lag]] - Table[[#This Row],[price]]) / Table[[#This Row],[price]]</f>
        <v>-0.11893410299610721</v>
      </c>
    </row>
    <row r="1925" spans="1:6" hidden="1" x14ac:dyDescent="0.2">
      <c r="A1925" t="s">
        <v>507</v>
      </c>
      <c r="B1925" t="s">
        <v>432</v>
      </c>
      <c r="C1925">
        <v>22.222656801522501</v>
      </c>
      <c r="D1925">
        <v>73.779220581054688</v>
      </c>
      <c r="E1925">
        <v>72.995552062988281</v>
      </c>
      <c r="F1925">
        <f>(Table[[#This Row],[price_lag]] - Table[[#This Row],[price]]) / Table[[#This Row],[price]]</f>
        <v>-1.0621805325328141E-2</v>
      </c>
    </row>
    <row r="1926" spans="1:6" hidden="1" x14ac:dyDescent="0.2">
      <c r="A1926" t="s">
        <v>507</v>
      </c>
      <c r="B1926" t="s">
        <v>433</v>
      </c>
      <c r="C1926">
        <v>22.398991535619359</v>
      </c>
      <c r="D1926">
        <v>217.27021789550781</v>
      </c>
      <c r="E1926">
        <v>263.490478515625</v>
      </c>
      <c r="F1926">
        <f>(Table[[#This Row],[price_lag]] - Table[[#This Row],[price]]) / Table[[#This Row],[price]]</f>
        <v>0.21273168991042291</v>
      </c>
    </row>
    <row r="1927" spans="1:6" hidden="1" x14ac:dyDescent="0.2">
      <c r="A1927" t="s">
        <v>507</v>
      </c>
      <c r="B1927" t="s">
        <v>434</v>
      </c>
      <c r="C1927">
        <v>14.00571536523691</v>
      </c>
      <c r="D1927">
        <v>108.12412261962891</v>
      </c>
      <c r="E1927">
        <v>88.462539672851562</v>
      </c>
      <c r="F1927">
        <f>(Table[[#This Row],[price_lag]] - Table[[#This Row],[price]]) / Table[[#This Row],[price]]</f>
        <v>-0.18184270512830011</v>
      </c>
    </row>
    <row r="1928" spans="1:6" hidden="1" x14ac:dyDescent="0.2">
      <c r="A1928" t="s">
        <v>507</v>
      </c>
      <c r="B1928" t="s">
        <v>435</v>
      </c>
      <c r="C1928">
        <v>0</v>
      </c>
      <c r="D1928">
        <v>184.53999328613281</v>
      </c>
      <c r="E1928">
        <v>207.25</v>
      </c>
      <c r="F1928">
        <f>(Table[[#This Row],[price_lag]] - Table[[#This Row],[price]]) / Table[[#This Row],[price]]</f>
        <v>0.12306279148203331</v>
      </c>
    </row>
    <row r="1929" spans="1:6" hidden="1" x14ac:dyDescent="0.2">
      <c r="A1929" t="s">
        <v>507</v>
      </c>
      <c r="B1929" t="s">
        <v>436</v>
      </c>
      <c r="C1929">
        <v>11.48482789384558</v>
      </c>
      <c r="D1929">
        <v>64.774429321289062</v>
      </c>
      <c r="E1929">
        <v>69.591178894042969</v>
      </c>
      <c r="F1929">
        <f>(Table[[#This Row],[price_lag]] - Table[[#This Row],[price]]) / Table[[#This Row],[price]]</f>
        <v>7.436189902750423E-2</v>
      </c>
    </row>
    <row r="1930" spans="1:6" hidden="1" x14ac:dyDescent="0.2">
      <c r="A1930" t="s">
        <v>507</v>
      </c>
      <c r="B1930" t="s">
        <v>437</v>
      </c>
      <c r="C1930">
        <v>29.763385470296289</v>
      </c>
      <c r="D1930">
        <v>173.9082946777344</v>
      </c>
      <c r="E1930">
        <v>196.84565734863281</v>
      </c>
      <c r="F1930">
        <f>(Table[[#This Row],[price_lag]] - Table[[#This Row],[price]]) / Table[[#This Row],[price]]</f>
        <v>0.13189343678749266</v>
      </c>
    </row>
    <row r="1931" spans="1:6" hidden="1" x14ac:dyDescent="0.2">
      <c r="A1931" t="s">
        <v>507</v>
      </c>
      <c r="B1931" t="s">
        <v>438</v>
      </c>
      <c r="C1931">
        <v>13.361954491985729</v>
      </c>
      <c r="D1931">
        <v>129.3437194824219</v>
      </c>
      <c r="E1931">
        <v>100.802848815918</v>
      </c>
      <c r="F1931">
        <f>(Table[[#This Row],[price_lag]] - Table[[#This Row],[price]]) / Table[[#This Row],[price]]</f>
        <v>-0.22065911495905816</v>
      </c>
    </row>
    <row r="1932" spans="1:6" hidden="1" x14ac:dyDescent="0.2">
      <c r="A1932" t="s">
        <v>507</v>
      </c>
      <c r="B1932" t="s">
        <v>439</v>
      </c>
      <c r="C1932">
        <v>19.93666611148813</v>
      </c>
      <c r="D1932">
        <v>141.15159606933591</v>
      </c>
      <c r="E1932">
        <v>140.20527648925781</v>
      </c>
      <c r="F1932">
        <f>(Table[[#This Row],[price_lag]] - Table[[#This Row],[price]]) / Table[[#This Row],[price]]</f>
        <v>-6.7042782825725141E-3</v>
      </c>
    </row>
    <row r="1933" spans="1:6" hidden="1" x14ac:dyDescent="0.2">
      <c r="A1933" t="s">
        <v>507</v>
      </c>
      <c r="B1933" t="s">
        <v>440</v>
      </c>
      <c r="C1933">
        <v>27.366896226290109</v>
      </c>
      <c r="D1933">
        <v>465.23001098632812</v>
      </c>
      <c r="E1933">
        <v>497.70999145507812</v>
      </c>
      <c r="F1933">
        <f>(Table[[#This Row],[price_lag]] - Table[[#This Row],[price]]) / Table[[#This Row],[price]]</f>
        <v>6.9814886618964275E-2</v>
      </c>
    </row>
    <row r="1934" spans="1:6" hidden="1" x14ac:dyDescent="0.2">
      <c r="A1934" t="s">
        <v>507</v>
      </c>
      <c r="B1934" t="s">
        <v>441</v>
      </c>
      <c r="C1934">
        <v>35.041834513346352</v>
      </c>
      <c r="D1934">
        <v>126.1506042480469</v>
      </c>
      <c r="E1934">
        <v>82.329383850097656</v>
      </c>
      <c r="F1934">
        <f>(Table[[#This Row],[price_lag]] - Table[[#This Row],[price]]) / Table[[#This Row],[price]]</f>
        <v>-0.34737225920681786</v>
      </c>
    </row>
    <row r="1935" spans="1:6" hidden="1" x14ac:dyDescent="0.2">
      <c r="A1935" t="s">
        <v>507</v>
      </c>
      <c r="B1935" t="s">
        <v>442</v>
      </c>
      <c r="C1935">
        <v>144.93402904934351</v>
      </c>
      <c r="D1935">
        <v>417.41000366210938</v>
      </c>
      <c r="E1935">
        <v>259.16000366210938</v>
      </c>
      <c r="F1935">
        <f>(Table[[#This Row],[price_lag]] - Table[[#This Row],[price]]) / Table[[#This Row],[price]]</f>
        <v>-0.37912364009393107</v>
      </c>
    </row>
    <row r="1936" spans="1:6" hidden="1" x14ac:dyDescent="0.2">
      <c r="A1936" t="s">
        <v>507</v>
      </c>
      <c r="B1936" t="s">
        <v>443</v>
      </c>
      <c r="C1936">
        <v>34.445861253206083</v>
      </c>
      <c r="D1936">
        <v>182.0494079589844</v>
      </c>
      <c r="E1936">
        <v>175.33622741699219</v>
      </c>
      <c r="F1936">
        <f>(Table[[#This Row],[price_lag]] - Table[[#This Row],[price]]) / Table[[#This Row],[price]]</f>
        <v>-3.6875596670463716E-2</v>
      </c>
    </row>
    <row r="1937" spans="1:6" hidden="1" x14ac:dyDescent="0.2">
      <c r="A1937" t="s">
        <v>507</v>
      </c>
      <c r="B1937" t="s">
        <v>444</v>
      </c>
      <c r="C1937">
        <v>53.430365400258992</v>
      </c>
      <c r="D1937">
        <v>366.88858032226562</v>
      </c>
      <c r="E1937">
        <v>439.45803833007812</v>
      </c>
      <c r="F1937">
        <f>(Table[[#This Row],[price_lag]] - Table[[#This Row],[price]]) / Table[[#This Row],[price]]</f>
        <v>0.19779699314726376</v>
      </c>
    </row>
    <row r="1938" spans="1:6" hidden="1" x14ac:dyDescent="0.2">
      <c r="A1938" t="s">
        <v>507</v>
      </c>
      <c r="B1938" t="s">
        <v>445</v>
      </c>
      <c r="C1938">
        <v>25.15882441872045</v>
      </c>
      <c r="D1938">
        <v>76.482826232910156</v>
      </c>
      <c r="E1938">
        <v>72.197242736816406</v>
      </c>
      <c r="F1938">
        <f>(Table[[#This Row],[price_lag]] - Table[[#This Row],[price]]) / Table[[#This Row],[price]]</f>
        <v>-5.6033278412633843E-2</v>
      </c>
    </row>
    <row r="1939" spans="1:6" hidden="1" x14ac:dyDescent="0.2">
      <c r="A1939" t="s">
        <v>507</v>
      </c>
      <c r="B1939" t="s">
        <v>446</v>
      </c>
      <c r="C1939">
        <v>26.98391016440501</v>
      </c>
      <c r="D1939">
        <v>517.01171875</v>
      </c>
      <c r="E1939">
        <v>496.26583862304688</v>
      </c>
      <c r="F1939">
        <f>(Table[[#This Row],[price_lag]] - Table[[#This Row],[price]]) / Table[[#This Row],[price]]</f>
        <v>-4.0126518170828455E-2</v>
      </c>
    </row>
    <row r="1940" spans="1:6" hidden="1" x14ac:dyDescent="0.2">
      <c r="A1940" t="s">
        <v>507</v>
      </c>
      <c r="B1940" t="s">
        <v>447</v>
      </c>
      <c r="C1940">
        <v>24.044643025036919</v>
      </c>
      <c r="D1940">
        <v>119.6073837280273</v>
      </c>
      <c r="E1940">
        <v>120.6724319458008</v>
      </c>
      <c r="F1940">
        <f>(Table[[#This Row],[price_lag]] - Table[[#This Row],[price]]) / Table[[#This Row],[price]]</f>
        <v>8.9045356948471086E-3</v>
      </c>
    </row>
    <row r="1941" spans="1:6" hidden="1" x14ac:dyDescent="0.2">
      <c r="A1941" t="s">
        <v>507</v>
      </c>
      <c r="B1941" t="s">
        <v>448</v>
      </c>
      <c r="C1941">
        <v>93.14759906969573</v>
      </c>
      <c r="D1941">
        <v>141.5843505859375</v>
      </c>
      <c r="E1941">
        <v>151.31500244140619</v>
      </c>
      <c r="F1941">
        <f>(Table[[#This Row],[price_lag]] - Table[[#This Row],[price]]) / Table[[#This Row],[price]]</f>
        <v>6.8726888354532348E-2</v>
      </c>
    </row>
    <row r="1942" spans="1:6" hidden="1" x14ac:dyDescent="0.2">
      <c r="A1942" t="s">
        <v>507</v>
      </c>
      <c r="B1942" t="s">
        <v>449</v>
      </c>
      <c r="C1942">
        <v>81.195944708746836</v>
      </c>
      <c r="D1942">
        <v>120.1699981689453</v>
      </c>
      <c r="E1942">
        <v>54.720001220703118</v>
      </c>
      <c r="F1942">
        <f>(Table[[#This Row],[price_lag]] - Table[[#This Row],[price]]) / Table[[#This Row],[price]]</f>
        <v>-0.54464506903151455</v>
      </c>
    </row>
    <row r="1943" spans="1:6" hidden="1" x14ac:dyDescent="0.2">
      <c r="A1943" t="s">
        <v>507</v>
      </c>
      <c r="B1943" t="s">
        <v>450</v>
      </c>
      <c r="C1943">
        <v>29.385401985862039</v>
      </c>
      <c r="D1943">
        <v>51.718307495117188</v>
      </c>
      <c r="E1943">
        <v>54.406200408935547</v>
      </c>
      <c r="F1943">
        <f>(Table[[#This Row],[price_lag]] - Table[[#This Row],[price]]) / Table[[#This Row],[price]]</f>
        <v>5.1971788018626244E-2</v>
      </c>
    </row>
    <row r="1944" spans="1:6" hidden="1" x14ac:dyDescent="0.2">
      <c r="A1944" t="s">
        <v>507</v>
      </c>
      <c r="B1944" t="s">
        <v>451</v>
      </c>
      <c r="C1944">
        <v>34.19236816681218</v>
      </c>
      <c r="D1944">
        <v>368.19326782226562</v>
      </c>
      <c r="E1944">
        <v>335.41998291015619</v>
      </c>
      <c r="F1944">
        <f>(Table[[#This Row],[price_lag]] - Table[[#This Row],[price]]) / Table[[#This Row],[price]]</f>
        <v>-8.9011092206959533E-2</v>
      </c>
    </row>
    <row r="1945" spans="1:6" hidden="1" x14ac:dyDescent="0.2">
      <c r="A1945" t="s">
        <v>507</v>
      </c>
      <c r="B1945" t="s">
        <v>452</v>
      </c>
      <c r="C1945">
        <v>39.290164336757712</v>
      </c>
      <c r="D1945">
        <v>1197.564208984375</v>
      </c>
      <c r="E1945">
        <v>1294.293090820312</v>
      </c>
      <c r="F1945">
        <f>(Table[[#This Row],[price_lag]] - Table[[#This Row],[price]]) / Table[[#This Row],[price]]</f>
        <v>8.0771353310542277E-2</v>
      </c>
    </row>
    <row r="1946" spans="1:6" hidden="1" x14ac:dyDescent="0.2">
      <c r="A1946" t="s">
        <v>507</v>
      </c>
      <c r="B1946" t="s">
        <v>453</v>
      </c>
      <c r="C1946">
        <v>6.4769736498299864</v>
      </c>
      <c r="D1946">
        <v>236.02091979980469</v>
      </c>
      <c r="E1946">
        <v>261.28091430664062</v>
      </c>
      <c r="F1946">
        <f>(Table[[#This Row],[price_lag]] - Table[[#This Row],[price]]) / Table[[#This Row],[price]]</f>
        <v>0.1070243880426435</v>
      </c>
    </row>
    <row r="1947" spans="1:6" hidden="1" x14ac:dyDescent="0.2">
      <c r="A1947" t="s">
        <v>507</v>
      </c>
      <c r="B1947" t="s">
        <v>454</v>
      </c>
      <c r="C1947">
        <v>47.587838044037689</v>
      </c>
      <c r="D1947">
        <v>70.430000305175781</v>
      </c>
      <c r="E1947">
        <v>65.650001525878906</v>
      </c>
      <c r="F1947">
        <f>(Table[[#This Row],[price_lag]] - Table[[#This Row],[price]]) / Table[[#This Row],[price]]</f>
        <v>-6.7868788280348785E-2</v>
      </c>
    </row>
    <row r="1948" spans="1:6" hidden="1" x14ac:dyDescent="0.2">
      <c r="A1948" t="s">
        <v>507</v>
      </c>
      <c r="B1948" t="s">
        <v>455</v>
      </c>
      <c r="C1948">
        <v>11.230356796928071</v>
      </c>
      <c r="D1948">
        <v>41.327713012695312</v>
      </c>
      <c r="E1948">
        <v>39.656105041503913</v>
      </c>
      <c r="F1948">
        <f>(Table[[#This Row],[price_lag]] - Table[[#This Row],[price]]) / Table[[#This Row],[price]]</f>
        <v>-4.0447628221719018E-2</v>
      </c>
    </row>
    <row r="1949" spans="1:6" hidden="1" x14ac:dyDescent="0.2">
      <c r="A1949" t="s">
        <v>507</v>
      </c>
      <c r="B1949" t="s">
        <v>456</v>
      </c>
      <c r="C1949">
        <v>95.236838491339427</v>
      </c>
      <c r="D1949">
        <v>579.03997802734375</v>
      </c>
      <c r="E1949">
        <v>581.3900146484375</v>
      </c>
      <c r="F1949">
        <f>(Table[[#This Row],[price_lag]] - Table[[#This Row],[price]]) / Table[[#This Row],[price]]</f>
        <v>4.0585049569457797E-3</v>
      </c>
    </row>
    <row r="1950" spans="1:6" hidden="1" x14ac:dyDescent="0.2">
      <c r="A1950" t="s">
        <v>507</v>
      </c>
      <c r="B1950" t="s">
        <v>457</v>
      </c>
      <c r="C1950">
        <v>13.392518793494959</v>
      </c>
      <c r="D1950">
        <v>55.177177429199219</v>
      </c>
      <c r="E1950">
        <v>62.12738037109375</v>
      </c>
      <c r="F1950">
        <f>(Table[[#This Row],[price_lag]] - Table[[#This Row],[price]]) / Table[[#This Row],[price]]</f>
        <v>0.12596155268748038</v>
      </c>
    </row>
    <row r="1951" spans="1:6" hidden="1" x14ac:dyDescent="0.2">
      <c r="A1951" t="s">
        <v>507</v>
      </c>
      <c r="B1951" t="s">
        <v>458</v>
      </c>
      <c r="C1951">
        <v>11.31980253918336</v>
      </c>
      <c r="D1951">
        <v>45.732002258300781</v>
      </c>
      <c r="E1951">
        <v>40.919857025146477</v>
      </c>
      <c r="F1951">
        <f>(Table[[#This Row],[price_lag]] - Table[[#This Row],[price]]) / Table[[#This Row],[price]]</f>
        <v>-0.10522489712946813</v>
      </c>
    </row>
    <row r="1952" spans="1:6" hidden="1" x14ac:dyDescent="0.2">
      <c r="A1952" t="s">
        <v>507</v>
      </c>
      <c r="B1952" t="s">
        <v>459</v>
      </c>
      <c r="C1952">
        <v>4.6460244998290268</v>
      </c>
      <c r="D1952">
        <v>60.770000457763672</v>
      </c>
      <c r="E1952">
        <v>72.860000610351562</v>
      </c>
      <c r="F1952">
        <f>(Table[[#This Row],[price_lag]] - Table[[#This Row],[price]]) / Table[[#This Row],[price]]</f>
        <v>0.19894684978636251</v>
      </c>
    </row>
    <row r="1953" spans="1:6" hidden="1" x14ac:dyDescent="0.2">
      <c r="A1953" t="s">
        <v>507</v>
      </c>
      <c r="B1953" t="s">
        <v>460</v>
      </c>
      <c r="C1953">
        <v>0</v>
      </c>
      <c r="D1953">
        <v>40.757556915283203</v>
      </c>
      <c r="E1953">
        <v>43.190120697021477</v>
      </c>
      <c r="F1953">
        <f>(Table[[#This Row],[price_lag]] - Table[[#This Row],[price]]) / Table[[#This Row],[price]]</f>
        <v>5.9683748630824221E-2</v>
      </c>
    </row>
    <row r="1954" spans="1:6" hidden="1" x14ac:dyDescent="0.2">
      <c r="A1954" t="s">
        <v>507</v>
      </c>
      <c r="B1954" t="s">
        <v>461</v>
      </c>
      <c r="C1954">
        <v>12.80588217342601</v>
      </c>
      <c r="D1954">
        <v>435.39999389648438</v>
      </c>
      <c r="E1954">
        <v>366.54000854492188</v>
      </c>
      <c r="F1954">
        <f>(Table[[#This Row],[price_lag]] - Table[[#This Row],[price]]) / Table[[#This Row],[price]]</f>
        <v>-0.15815339071395082</v>
      </c>
    </row>
    <row r="1955" spans="1:6" hidden="1" x14ac:dyDescent="0.2">
      <c r="A1955" t="s">
        <v>507</v>
      </c>
      <c r="B1955" t="s">
        <v>462</v>
      </c>
      <c r="C1955">
        <v>19.048045432730898</v>
      </c>
      <c r="D1955">
        <v>222.4811706542969</v>
      </c>
      <c r="E1955">
        <v>232.0027770996094</v>
      </c>
      <c r="F1955">
        <f>(Table[[#This Row],[price_lag]] - Table[[#This Row],[price]]) / Table[[#This Row],[price]]</f>
        <v>4.2797358613811322E-2</v>
      </c>
    </row>
    <row r="1956" spans="1:6" hidden="1" x14ac:dyDescent="0.2">
      <c r="A1956" t="s">
        <v>507</v>
      </c>
      <c r="B1956" t="s">
        <v>463</v>
      </c>
      <c r="C1956">
        <v>8.1733586857372824</v>
      </c>
      <c r="D1956">
        <v>98.209999084472656</v>
      </c>
      <c r="E1956">
        <v>69.050003051757812</v>
      </c>
      <c r="F1956">
        <f>(Table[[#This Row],[price_lag]] - Table[[#This Row],[price]]) / Table[[#This Row],[price]]</f>
        <v>-0.29691473683482744</v>
      </c>
    </row>
    <row r="1957" spans="1:6" hidden="1" x14ac:dyDescent="0.2">
      <c r="A1957" t="s">
        <v>507</v>
      </c>
      <c r="B1957" t="s">
        <v>464</v>
      </c>
      <c r="C1957">
        <v>14.512415215520569</v>
      </c>
      <c r="D1957">
        <v>117.26031494140619</v>
      </c>
      <c r="E1957">
        <v>104.3892822265625</v>
      </c>
      <c r="F1957">
        <f>(Table[[#This Row],[price_lag]] - Table[[#This Row],[price]]) / Table[[#This Row],[price]]</f>
        <v>-0.10976460980234634</v>
      </c>
    </row>
    <row r="1958" spans="1:6" hidden="1" x14ac:dyDescent="0.2">
      <c r="A1958" t="s">
        <v>507</v>
      </c>
      <c r="B1958" t="s">
        <v>465</v>
      </c>
      <c r="C1958">
        <v>18.02488284771864</v>
      </c>
      <c r="D1958">
        <v>699.7259521484375</v>
      </c>
      <c r="E1958">
        <v>622.61962890625</v>
      </c>
      <c r="F1958">
        <f>(Table[[#This Row],[price_lag]] - Table[[#This Row],[price]]) / Table[[#This Row],[price]]</f>
        <v>-0.11019503136255039</v>
      </c>
    </row>
    <row r="1959" spans="1:6" hidden="1" x14ac:dyDescent="0.2">
      <c r="A1959" t="s">
        <v>507</v>
      </c>
      <c r="B1959" t="s">
        <v>466</v>
      </c>
      <c r="C1959">
        <v>20.45235319477549</v>
      </c>
      <c r="D1959">
        <v>495.59512329101562</v>
      </c>
      <c r="E1959">
        <v>513.3463134765625</v>
      </c>
      <c r="F1959">
        <f>(Table[[#This Row],[price_lag]] - Table[[#This Row],[price]]) / Table[[#This Row],[price]]</f>
        <v>3.5817927480136437E-2</v>
      </c>
    </row>
    <row r="1960" spans="1:6" hidden="1" x14ac:dyDescent="0.2">
      <c r="A1960" t="s">
        <v>507</v>
      </c>
      <c r="B1960" t="s">
        <v>467</v>
      </c>
      <c r="C1960">
        <v>8.7592333731566647</v>
      </c>
      <c r="D1960">
        <v>177.63725280761719</v>
      </c>
      <c r="E1960">
        <v>187.34190368652341</v>
      </c>
      <c r="F1960">
        <f>(Table[[#This Row],[price_lag]] - Table[[#This Row],[price]]) / Table[[#This Row],[price]]</f>
        <v>5.4631845097359445E-2</v>
      </c>
    </row>
    <row r="1961" spans="1:6" hidden="1" x14ac:dyDescent="0.2">
      <c r="A1961" t="s">
        <v>507</v>
      </c>
      <c r="B1961" t="s">
        <v>468</v>
      </c>
      <c r="C1961">
        <v>32.566998513896813</v>
      </c>
      <c r="D1961">
        <v>115.9385147094727</v>
      </c>
      <c r="E1961">
        <v>129.08323669433591</v>
      </c>
      <c r="F1961">
        <f>(Table[[#This Row],[price_lag]] - Table[[#This Row],[price]]) / Table[[#This Row],[price]]</f>
        <v>0.11337666363763782</v>
      </c>
    </row>
    <row r="1962" spans="1:6" hidden="1" x14ac:dyDescent="0.2">
      <c r="A1962" t="s">
        <v>507</v>
      </c>
      <c r="B1962" t="s">
        <v>469</v>
      </c>
      <c r="C1962">
        <v>108.5997067964994</v>
      </c>
      <c r="D1962">
        <v>56.471847534179688</v>
      </c>
      <c r="E1962">
        <v>67.349311828613281</v>
      </c>
      <c r="F1962">
        <f>(Table[[#This Row],[price_lag]] - Table[[#This Row],[price]]) / Table[[#This Row],[price]]</f>
        <v>0.19261746816145847</v>
      </c>
    </row>
    <row r="1963" spans="1:6" hidden="1" x14ac:dyDescent="0.2">
      <c r="A1963" t="s">
        <v>507</v>
      </c>
      <c r="B1963" t="s">
        <v>470</v>
      </c>
      <c r="C1963">
        <v>27.564079865165379</v>
      </c>
      <c r="D1963">
        <v>101.43581390380859</v>
      </c>
      <c r="E1963">
        <v>97.1173095703125</v>
      </c>
      <c r="F1963">
        <f>(Table[[#This Row],[price_lag]] - Table[[#This Row],[price]]) / Table[[#This Row],[price]]</f>
        <v>-4.25737633218118E-2</v>
      </c>
    </row>
    <row r="1964" spans="1:6" hidden="1" x14ac:dyDescent="0.2">
      <c r="A1964" t="s">
        <v>507</v>
      </c>
      <c r="B1964" t="s">
        <v>471</v>
      </c>
      <c r="C1964">
        <v>25.415761947631839</v>
      </c>
      <c r="D1964">
        <v>203.32609558105469</v>
      </c>
      <c r="E1964">
        <v>251.67427062988281</v>
      </c>
      <c r="F1964">
        <f>(Table[[#This Row],[price_lag]] - Table[[#This Row],[price]]) / Table[[#This Row],[price]]</f>
        <v>0.23778637420180246</v>
      </c>
    </row>
    <row r="1965" spans="1:6" hidden="1" x14ac:dyDescent="0.2">
      <c r="A1965" t="s">
        <v>507</v>
      </c>
      <c r="B1965" t="s">
        <v>472</v>
      </c>
      <c r="C1965">
        <v>45.646016438802093</v>
      </c>
      <c r="D1965">
        <v>273.8760986328125</v>
      </c>
      <c r="E1965">
        <v>296.06842041015619</v>
      </c>
      <c r="F1965">
        <f>(Table[[#This Row],[price_lag]] - Table[[#This Row],[price]]) / Table[[#This Row],[price]]</f>
        <v>8.1030516675707015E-2</v>
      </c>
    </row>
    <row r="1966" spans="1:6" hidden="1" x14ac:dyDescent="0.2">
      <c r="A1966" t="s">
        <v>507</v>
      </c>
      <c r="B1966" t="s">
        <v>473</v>
      </c>
      <c r="C1966">
        <v>7.6507071487042086</v>
      </c>
      <c r="D1966">
        <v>36.417366027832031</v>
      </c>
      <c r="E1966">
        <v>42.45361328125</v>
      </c>
      <c r="F1966">
        <f>(Table[[#This Row],[price_lag]] - Table[[#This Row],[price]]) / Table[[#This Row],[price]]</f>
        <v>0.16575189015056049</v>
      </c>
    </row>
    <row r="1967" spans="1:6" hidden="1" x14ac:dyDescent="0.2">
      <c r="A1967" t="s">
        <v>507</v>
      </c>
      <c r="B1967" t="s">
        <v>474</v>
      </c>
      <c r="C1967">
        <v>28.123239866444759</v>
      </c>
      <c r="D1967">
        <v>399.35000610351562</v>
      </c>
      <c r="E1967">
        <v>484.82000732421881</v>
      </c>
      <c r="F1967">
        <f>(Table[[#This Row],[price_lag]] - Table[[#This Row],[price]]) / Table[[#This Row],[price]]</f>
        <v>0.21402278681460313</v>
      </c>
    </row>
    <row r="1968" spans="1:6" hidden="1" x14ac:dyDescent="0.2">
      <c r="A1968" t="s">
        <v>507</v>
      </c>
      <c r="B1968" t="s">
        <v>475</v>
      </c>
      <c r="C1968">
        <v>0</v>
      </c>
      <c r="D1968">
        <v>11.78141403198242</v>
      </c>
      <c r="E1968">
        <v>8.3932352066040039</v>
      </c>
      <c r="F1968">
        <f>(Table[[#This Row],[price_lag]] - Table[[#This Row],[price]]) / Table[[#This Row],[price]]</f>
        <v>-0.28758677151831652</v>
      </c>
    </row>
    <row r="1969" spans="1:6" hidden="1" x14ac:dyDescent="0.2">
      <c r="A1969" t="s">
        <v>507</v>
      </c>
      <c r="B1969" t="s">
        <v>476</v>
      </c>
      <c r="C1969">
        <v>11.81299193152066</v>
      </c>
      <c r="D1969">
        <v>27.40614128112793</v>
      </c>
      <c r="E1969">
        <v>31.234237670898441</v>
      </c>
      <c r="F1969">
        <f>(Table[[#This Row],[price_lag]] - Table[[#This Row],[price]]) / Table[[#This Row],[price]]</f>
        <v>0.1396802399324478</v>
      </c>
    </row>
    <row r="1970" spans="1:6" hidden="1" x14ac:dyDescent="0.2">
      <c r="A1970" t="s">
        <v>507</v>
      </c>
      <c r="B1970" t="s">
        <v>477</v>
      </c>
      <c r="C1970">
        <v>30.337817169899161</v>
      </c>
      <c r="D1970">
        <v>313.08627319335938</v>
      </c>
      <c r="E1970">
        <v>348.57391357421881</v>
      </c>
      <c r="F1970">
        <f>(Table[[#This Row],[price_lag]] - Table[[#This Row],[price]]) / Table[[#This Row],[price]]</f>
        <v>0.1133478003327938</v>
      </c>
    </row>
    <row r="1971" spans="1:6" hidden="1" x14ac:dyDescent="0.2">
      <c r="A1971" t="s">
        <v>507</v>
      </c>
      <c r="B1971" t="s">
        <v>478</v>
      </c>
      <c r="C1971">
        <v>19.188041317227491</v>
      </c>
      <c r="D1971">
        <v>139.32684326171881</v>
      </c>
      <c r="E1971">
        <v>117.002067565918</v>
      </c>
      <c r="F1971">
        <f>(Table[[#This Row],[price_lag]] - Table[[#This Row],[price]]) / Table[[#This Row],[price]]</f>
        <v>-0.16023312646124327</v>
      </c>
    </row>
    <row r="1972" spans="1:6" hidden="1" x14ac:dyDescent="0.2">
      <c r="A1972" t="s">
        <v>507</v>
      </c>
      <c r="B1972" t="s">
        <v>479</v>
      </c>
      <c r="C1972">
        <v>28.857975177936719</v>
      </c>
      <c r="D1972">
        <v>256.25881958007812</v>
      </c>
      <c r="E1972">
        <v>232.09672546386719</v>
      </c>
      <c r="F1972">
        <f>(Table[[#This Row],[price_lag]] - Table[[#This Row],[price]]) / Table[[#This Row],[price]]</f>
        <v>-9.4287853802668992E-2</v>
      </c>
    </row>
    <row r="1973" spans="1:6" hidden="1" x14ac:dyDescent="0.2">
      <c r="A1973" t="s">
        <v>507</v>
      </c>
      <c r="B1973" t="s">
        <v>480</v>
      </c>
      <c r="C1973">
        <v>9.8270186062516842</v>
      </c>
      <c r="D1973">
        <v>56.996707916259773</v>
      </c>
      <c r="E1973">
        <v>69.39569091796875</v>
      </c>
      <c r="F1973">
        <f>(Table[[#This Row],[price_lag]] - Table[[#This Row],[price]]) / Table[[#This Row],[price]]</f>
        <v>0.21753858170064327</v>
      </c>
    </row>
    <row r="1974" spans="1:6" hidden="1" x14ac:dyDescent="0.2">
      <c r="A1974" t="s">
        <v>507</v>
      </c>
      <c r="B1974" t="s">
        <v>481</v>
      </c>
      <c r="C1974">
        <v>26.920420433216758</v>
      </c>
      <c r="D1974">
        <v>1048.819580078125</v>
      </c>
      <c r="E1974">
        <v>981.00579833984375</v>
      </c>
      <c r="F1974">
        <f>(Table[[#This Row],[price_lag]] - Table[[#This Row],[price]]) / Table[[#This Row],[price]]</f>
        <v>-6.4657242319246078E-2</v>
      </c>
    </row>
    <row r="1975" spans="1:6" hidden="1" x14ac:dyDescent="0.2">
      <c r="A1975" t="s">
        <v>507</v>
      </c>
      <c r="B1975" t="s">
        <v>482</v>
      </c>
      <c r="C1975">
        <v>38.615581853602961</v>
      </c>
      <c r="D1975">
        <v>189.98866271972659</v>
      </c>
      <c r="E1975">
        <v>180.67213439941409</v>
      </c>
      <c r="F1975">
        <f>(Table[[#This Row],[price_lag]] - Table[[#This Row],[price]]) / Table[[#This Row],[price]]</f>
        <v>-4.903728563033441E-2</v>
      </c>
    </row>
    <row r="1976" spans="1:6" hidden="1" x14ac:dyDescent="0.2">
      <c r="A1976" t="s">
        <v>507</v>
      </c>
      <c r="B1976" t="s">
        <v>483</v>
      </c>
      <c r="C1976">
        <v>34.504335843599762</v>
      </c>
      <c r="D1976">
        <v>89.711273193359375</v>
      </c>
      <c r="E1976">
        <v>87.196434020996094</v>
      </c>
      <c r="F1976">
        <f>(Table[[#This Row],[price_lag]] - Table[[#This Row],[price]]) / Table[[#This Row],[price]]</f>
        <v>-2.8032588133521608E-2</v>
      </c>
    </row>
    <row r="1977" spans="1:6" hidden="1" x14ac:dyDescent="0.2">
      <c r="A1977" t="s">
        <v>507</v>
      </c>
      <c r="B1977" t="s">
        <v>484</v>
      </c>
      <c r="C1977">
        <v>19.430505468490281</v>
      </c>
      <c r="D1977">
        <v>109.5880508422852</v>
      </c>
      <c r="E1977">
        <v>97.620399475097656</v>
      </c>
      <c r="F1977">
        <f>(Table[[#This Row],[price_lag]] - Table[[#This Row],[price]]) / Table[[#This Row],[price]]</f>
        <v>-0.10920580551625025</v>
      </c>
    </row>
    <row r="1978" spans="1:6" hidden="1" x14ac:dyDescent="0.2">
      <c r="A1978" t="s">
        <v>507</v>
      </c>
      <c r="B1978" t="s">
        <v>485</v>
      </c>
      <c r="C1978">
        <v>0</v>
      </c>
      <c r="D1978">
        <v>10.510000228881839</v>
      </c>
      <c r="E1978">
        <v>10.72999954223633</v>
      </c>
      <c r="F1978">
        <f>(Table[[#This Row],[price_lag]] - Table[[#This Row],[price]]) / Table[[#This Row],[price]]</f>
        <v>2.0932379501755364E-2</v>
      </c>
    </row>
    <row r="1979" spans="1:6" hidden="1" x14ac:dyDescent="0.2">
      <c r="A1979" t="s">
        <v>507</v>
      </c>
      <c r="B1979" t="s">
        <v>486</v>
      </c>
      <c r="C1979">
        <v>33.440212275357858</v>
      </c>
      <c r="D1979">
        <v>199.30366516113281</v>
      </c>
      <c r="E1979">
        <v>228.9611511230469</v>
      </c>
      <c r="F1979">
        <f>(Table[[#This Row],[price_lag]] - Table[[#This Row],[price]]) / Table[[#This Row],[price]]</f>
        <v>0.14880552215603582</v>
      </c>
    </row>
    <row r="1980" spans="1:6" hidden="1" x14ac:dyDescent="0.2">
      <c r="A1980" t="s">
        <v>507</v>
      </c>
      <c r="B1980" t="s">
        <v>487</v>
      </c>
      <c r="C1980">
        <v>23.778205284705528</v>
      </c>
      <c r="D1980">
        <v>370.94000244140619</v>
      </c>
      <c r="E1980">
        <v>368.57000732421881</v>
      </c>
      <c r="F1980">
        <f>(Table[[#This Row],[price_lag]] - Table[[#This Row],[price]]) / Table[[#This Row],[price]]</f>
        <v>-6.3891602458318085E-3</v>
      </c>
    </row>
    <row r="1981" spans="1:6" hidden="1" x14ac:dyDescent="0.2">
      <c r="A1981" t="s">
        <v>507</v>
      </c>
      <c r="B1981" t="s">
        <v>488</v>
      </c>
      <c r="C1981">
        <v>15.927949651971559</v>
      </c>
      <c r="D1981">
        <v>91.107872009277344</v>
      </c>
      <c r="E1981">
        <v>106.306282043457</v>
      </c>
      <c r="F1981">
        <f>(Table[[#This Row],[price_lag]] - Table[[#This Row],[price]]) / Table[[#This Row],[price]]</f>
        <v>0.16681774800570509</v>
      </c>
    </row>
    <row r="1982" spans="1:6" hidden="1" x14ac:dyDescent="0.2">
      <c r="A1982" t="s">
        <v>507</v>
      </c>
      <c r="B1982" t="s">
        <v>489</v>
      </c>
      <c r="C1982">
        <v>11.88146920039736</v>
      </c>
      <c r="D1982">
        <v>68.912521362304688</v>
      </c>
      <c r="E1982">
        <v>70.610061645507812</v>
      </c>
      <c r="F1982">
        <f>(Table[[#This Row],[price_lag]] - Table[[#This Row],[price]]) / Table[[#This Row],[price]]</f>
        <v>2.4633263297367661E-2</v>
      </c>
    </row>
    <row r="1983" spans="1:6" hidden="1" x14ac:dyDescent="0.2">
      <c r="A1983" t="s">
        <v>507</v>
      </c>
      <c r="B1983" t="s">
        <v>490</v>
      </c>
      <c r="C1983">
        <v>161.5346105475175</v>
      </c>
      <c r="D1983">
        <v>122.7663040161133</v>
      </c>
      <c r="E1983">
        <v>151.2412414550781</v>
      </c>
      <c r="F1983">
        <f>(Table[[#This Row],[price_lag]] - Table[[#This Row],[price]]) / Table[[#This Row],[price]]</f>
        <v>0.2319442429025754</v>
      </c>
    </row>
    <row r="1984" spans="1:6" hidden="1" x14ac:dyDescent="0.2">
      <c r="A1984" t="s">
        <v>507</v>
      </c>
      <c r="B1984" t="s">
        <v>491</v>
      </c>
      <c r="C1984">
        <v>45.775851457478623</v>
      </c>
      <c r="D1984">
        <v>327.75509643554688</v>
      </c>
      <c r="E1984">
        <v>223.2968444824219</v>
      </c>
      <c r="F1984">
        <f>(Table[[#This Row],[price_lag]] - Table[[#This Row],[price]]) / Table[[#This Row],[price]]</f>
        <v>-0.318708246154356</v>
      </c>
    </row>
    <row r="1985" spans="1:6" hidden="1" x14ac:dyDescent="0.2">
      <c r="A1985" t="s">
        <v>507</v>
      </c>
      <c r="B1985" t="s">
        <v>492</v>
      </c>
      <c r="C1985">
        <v>6.6803631328401112</v>
      </c>
      <c r="D1985">
        <v>44.892040252685547</v>
      </c>
      <c r="E1985">
        <v>40.275501251220703</v>
      </c>
      <c r="F1985">
        <f>(Table[[#This Row],[price_lag]] - Table[[#This Row],[price]]) / Table[[#This Row],[price]]</f>
        <v>-0.10283647113117501</v>
      </c>
    </row>
    <row r="1986" spans="1:6" hidden="1" x14ac:dyDescent="0.2">
      <c r="A1986" t="s">
        <v>507</v>
      </c>
      <c r="B1986" t="s">
        <v>493</v>
      </c>
      <c r="C1986">
        <v>61.348702690818087</v>
      </c>
      <c r="D1986">
        <v>26.993429183959961</v>
      </c>
      <c r="E1986">
        <v>28.537052154541019</v>
      </c>
      <c r="F1986">
        <f>(Table[[#This Row],[price_lag]] - Table[[#This Row],[price]]) / Table[[#This Row],[price]]</f>
        <v>5.7185137911203596E-2</v>
      </c>
    </row>
    <row r="1987" spans="1:6" hidden="1" x14ac:dyDescent="0.2">
      <c r="A1987" t="s">
        <v>507</v>
      </c>
      <c r="B1987" t="s">
        <v>494</v>
      </c>
      <c r="C1987">
        <v>20.5544468529698</v>
      </c>
      <c r="D1987">
        <v>183.14012145996091</v>
      </c>
      <c r="E1987">
        <v>155.68910217285159</v>
      </c>
      <c r="F1987">
        <f>(Table[[#This Row],[price_lag]] - Table[[#This Row],[price]]) / Table[[#This Row],[price]]</f>
        <v>-0.14989079983279802</v>
      </c>
    </row>
    <row r="1988" spans="1:6" hidden="1" x14ac:dyDescent="0.2">
      <c r="A1988" t="s">
        <v>507</v>
      </c>
      <c r="B1988" t="s">
        <v>495</v>
      </c>
      <c r="C1988">
        <v>28.76342941116501</v>
      </c>
      <c r="D1988">
        <v>52.349441528320312</v>
      </c>
      <c r="E1988">
        <v>58.280929565429688</v>
      </c>
      <c r="F1988">
        <f>(Table[[#This Row],[price_lag]] - Table[[#This Row],[price]]) / Table[[#This Row],[price]]</f>
        <v>0.11330566026956607</v>
      </c>
    </row>
    <row r="1989" spans="1:6" hidden="1" x14ac:dyDescent="0.2">
      <c r="A1989" t="s">
        <v>507</v>
      </c>
      <c r="B1989" t="s">
        <v>496</v>
      </c>
      <c r="C1989">
        <v>6.267802746264965</v>
      </c>
      <c r="D1989">
        <v>308.8773193359375</v>
      </c>
      <c r="E1989">
        <v>335.09640502929688</v>
      </c>
      <c r="F1989">
        <f>(Table[[#This Row],[price_lag]] - Table[[#This Row],[price]]) / Table[[#This Row],[price]]</f>
        <v>8.4885111505527161E-2</v>
      </c>
    </row>
    <row r="1990" spans="1:6" hidden="1" x14ac:dyDescent="0.2">
      <c r="A1990" t="s">
        <v>507</v>
      </c>
      <c r="B1990" t="s">
        <v>497</v>
      </c>
      <c r="C1990">
        <v>187.1428571428572</v>
      </c>
      <c r="D1990">
        <v>262</v>
      </c>
      <c r="E1990">
        <v>233.5299987792969</v>
      </c>
      <c r="F1990">
        <f>(Table[[#This Row],[price_lag]] - Table[[#This Row],[price]]) / Table[[#This Row],[price]]</f>
        <v>-0.10866412679657671</v>
      </c>
    </row>
    <row r="1991" spans="1:6" hidden="1" x14ac:dyDescent="0.2">
      <c r="A1991" t="s">
        <v>507</v>
      </c>
      <c r="B1991" t="s">
        <v>498</v>
      </c>
      <c r="C1991">
        <v>8.3011023700237274</v>
      </c>
      <c r="D1991">
        <v>85.003288269042969</v>
      </c>
      <c r="E1991">
        <v>82.924140930175781</v>
      </c>
      <c r="F1991">
        <f>(Table[[#This Row],[price_lag]] - Table[[#This Row],[price]]) / Table[[#This Row],[price]]</f>
        <v>-2.4459610695135713E-2</v>
      </c>
    </row>
    <row r="1992" spans="1:6" hidden="1" x14ac:dyDescent="0.2">
      <c r="A1992" t="s">
        <v>507</v>
      </c>
      <c r="B1992" t="s">
        <v>499</v>
      </c>
      <c r="C1992">
        <v>20.035861450948829</v>
      </c>
      <c r="D1992">
        <v>64.916191101074219</v>
      </c>
      <c r="E1992">
        <v>69.126686096191406</v>
      </c>
      <c r="F1992">
        <f>(Table[[#This Row],[price_lag]] - Table[[#This Row],[price]]) / Table[[#This Row],[price]]</f>
        <v>6.4860475078728289E-2</v>
      </c>
    </row>
    <row r="1993" spans="1:6" hidden="1" x14ac:dyDescent="0.2">
      <c r="A1993" t="s">
        <v>507</v>
      </c>
      <c r="B1993" t="s">
        <v>500</v>
      </c>
      <c r="C1993">
        <v>31.309777449522102</v>
      </c>
      <c r="D1993">
        <v>114.90688323974609</v>
      </c>
      <c r="E1993">
        <v>118.4154434204102</v>
      </c>
      <c r="F1993">
        <f>(Table[[#This Row],[price_lag]] - Table[[#This Row],[price]]) / Table[[#This Row],[price]]</f>
        <v>3.0533942630257507E-2</v>
      </c>
    </row>
    <row r="1994" spans="1:6" hidden="1" x14ac:dyDescent="0.2">
      <c r="A1994" t="s">
        <v>507</v>
      </c>
      <c r="B1994" t="s">
        <v>501</v>
      </c>
      <c r="C1994">
        <v>21.68612448584954</v>
      </c>
      <c r="D1994">
        <v>130.98419189453119</v>
      </c>
      <c r="E1994">
        <v>155.10090637207031</v>
      </c>
      <c r="F1994">
        <f>(Table[[#This Row],[price_lag]] - Table[[#This Row],[price]]) / Table[[#This Row],[price]]</f>
        <v>0.18411927522489094</v>
      </c>
    </row>
    <row r="1995" spans="1:6" hidden="1" x14ac:dyDescent="0.2">
      <c r="A1995" t="s">
        <v>507</v>
      </c>
      <c r="B1995" t="s">
        <v>502</v>
      </c>
      <c r="C1995">
        <v>30.272082500277261</v>
      </c>
      <c r="D1995">
        <v>383.85000610351562</v>
      </c>
      <c r="E1995">
        <v>282.55999755859381</v>
      </c>
      <c r="F1995">
        <f>(Table[[#This Row],[price_lag]] - Table[[#This Row],[price]]) / Table[[#This Row],[price]]</f>
        <v>-0.26387913751291225</v>
      </c>
    </row>
    <row r="1996" spans="1:6" hidden="1" x14ac:dyDescent="0.2">
      <c r="A1996" t="s">
        <v>507</v>
      </c>
      <c r="B1996" t="s">
        <v>503</v>
      </c>
      <c r="C1996">
        <v>21.743550300598141</v>
      </c>
      <c r="D1996">
        <v>104.36904144287109</v>
      </c>
      <c r="E1996">
        <v>112.3130569458008</v>
      </c>
      <c r="F1996">
        <f>(Table[[#This Row],[price_lag]] - Table[[#This Row],[price]]) / Table[[#This Row],[price]]</f>
        <v>7.6114673404163141E-2</v>
      </c>
    </row>
    <row r="1997" spans="1:6" hidden="1" x14ac:dyDescent="0.2">
      <c r="A1997" t="s">
        <v>507</v>
      </c>
      <c r="B1997" t="s">
        <v>504</v>
      </c>
      <c r="C1997">
        <v>30.897578158119849</v>
      </c>
      <c r="D1997">
        <v>159.43150329589841</v>
      </c>
      <c r="E1997">
        <v>162.2889099121094</v>
      </c>
      <c r="F1997">
        <f>(Table[[#This Row],[price_lag]] - Table[[#This Row],[price]]) / Table[[#This Row],[price]]</f>
        <v>1.7922471764615828E-2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7696-F83F-6B40-A697-7542454CCDF1}">
  <dimension ref="A1:AU123"/>
  <sheetViews>
    <sheetView tabSelected="1" topLeftCell="W5" workbookViewId="0">
      <selection activeCell="AM21" sqref="AM21"/>
    </sheetView>
  </sheetViews>
  <sheetFormatPr baseColWidth="10" defaultRowHeight="15" x14ac:dyDescent="0.2"/>
  <sheetData>
    <row r="1" spans="1:47" x14ac:dyDescent="0.2">
      <c r="A1" s="3"/>
      <c r="B1" s="2" t="s">
        <v>5</v>
      </c>
      <c r="H1" s="2" t="s">
        <v>505</v>
      </c>
      <c r="N1" s="2" t="s">
        <v>506</v>
      </c>
      <c r="T1" s="2" t="s">
        <v>507</v>
      </c>
      <c r="AR1" s="2" t="s">
        <v>507</v>
      </c>
      <c r="AS1" t="s">
        <v>510</v>
      </c>
    </row>
    <row r="2" spans="1:47" x14ac:dyDescent="0.2">
      <c r="B2" t="s">
        <v>1</v>
      </c>
      <c r="C2" t="s">
        <v>2</v>
      </c>
      <c r="D2" t="s">
        <v>3</v>
      </c>
      <c r="E2" t="s">
        <v>4</v>
      </c>
      <c r="H2" t="s">
        <v>1</v>
      </c>
      <c r="I2" t="s">
        <v>2</v>
      </c>
      <c r="J2" t="s">
        <v>3</v>
      </c>
      <c r="K2" t="s">
        <v>4</v>
      </c>
      <c r="N2" t="s">
        <v>1</v>
      </c>
      <c r="O2" t="s">
        <v>2</v>
      </c>
      <c r="P2" t="s">
        <v>3</v>
      </c>
      <c r="Q2" t="s">
        <v>4</v>
      </c>
      <c r="T2" t="s">
        <v>1</v>
      </c>
      <c r="U2" t="s">
        <v>2</v>
      </c>
      <c r="V2" t="s">
        <v>3</v>
      </c>
      <c r="W2" t="s">
        <v>4</v>
      </c>
      <c r="AR2" t="s">
        <v>1</v>
      </c>
      <c r="AS2" t="s">
        <v>2</v>
      </c>
      <c r="AT2" t="s">
        <v>3</v>
      </c>
      <c r="AU2" t="s">
        <v>4</v>
      </c>
    </row>
    <row r="3" spans="1:47" x14ac:dyDescent="0.2">
      <c r="B3" t="str" cm="1">
        <f t="array" ref="B3:F123">_xlfn._xlws.FILTER(Table[[company]:[next_q_return]], (Table[quarter_date]=B$1) * (Table[pe_ratio]&lt;15) * (Table[pe_ratio] &lt;&gt; 0))</f>
        <v>AES</v>
      </c>
      <c r="C3">
        <v>3.6502235391166771</v>
      </c>
      <c r="D3">
        <v>12.994795799255369</v>
      </c>
      <c r="E3">
        <v>14.5</v>
      </c>
      <c r="F3">
        <v>0.11583130847126372</v>
      </c>
      <c r="H3" t="str" cm="1">
        <f t="array" ref="H3:L118">_xlfn._xlws.FILTER(Table[[company]:[next_q_return]], (Table[quarter_date]=H1) * (Table[pe_ratio]&lt;15) * (Table[pe_ratio] &lt;&gt; 0))</f>
        <v>ALL</v>
      </c>
      <c r="I3">
        <v>6.3416493151327424</v>
      </c>
      <c r="J3">
        <v>199.38145446777341</v>
      </c>
      <c r="K3">
        <v>213.64215087890619</v>
      </c>
      <c r="L3">
        <v>7.1524688438050196E-2</v>
      </c>
      <c r="N3" t="str" cm="1">
        <f t="array" ref="N3:R96">_xlfn._xlws.FILTER(Table[[company]:[next_q_return]], (Table[quarter_date]=N1) * (Table[pe_ratio]&lt;15) * (Table[pe_ratio] &lt;&gt; 0))</f>
        <v>GOOGL</v>
      </c>
      <c r="O3">
        <v>13.575187199552291</v>
      </c>
      <c r="P3">
        <v>154.21412658691409</v>
      </c>
      <c r="Q3">
        <v>175.9574279785156</v>
      </c>
      <c r="R3">
        <v>0.14099422583927237</v>
      </c>
      <c r="T3" t="str" cm="1">
        <f t="array" ref="T3:X115">_xlfn._xlws.FILTER(Table[[company]:[next_q_return]], (Table[quarter_date]=T1) * (Table[pe_ratio]&lt;15) * (Table[pe_ratio] &lt;&gt; 0))</f>
        <v>ABT</v>
      </c>
      <c r="U3">
        <v>5.1667817049666853</v>
      </c>
      <c r="V3">
        <v>110.1444396972656</v>
      </c>
      <c r="W3">
        <v>130.20683288574219</v>
      </c>
      <c r="X3">
        <v>0.18214621858006194</v>
      </c>
      <c r="AR3" t="str" cm="1">
        <f t="array" ref="AR3:AU114">_xlfn._xlws.FILTER(Table[[company]:[price_lag]],(Table[quarter_date]=T1)*(Table[pe_ratio]&lt;15)*(Table[pe_ratio]&lt;&gt;0)*(Table[price_lag]&lt;7000))</f>
        <v>ABT</v>
      </c>
      <c r="AS3">
        <v>5.1667817049666853</v>
      </c>
      <c r="AT3">
        <v>110.1444396972656</v>
      </c>
      <c r="AU3">
        <v>130.20683288574219</v>
      </c>
    </row>
    <row r="4" spans="1:47" x14ac:dyDescent="0.2">
      <c r="B4" t="str">
        <v>AFL</v>
      </c>
      <c r="C4">
        <v>8.9903161749484859</v>
      </c>
      <c r="D4">
        <v>111.1203079223633</v>
      </c>
      <c r="E4">
        <v>110.8000030517578</v>
      </c>
      <c r="F4">
        <v>-2.8825052467392853E-3</v>
      </c>
      <c r="H4" t="str">
        <v>MO</v>
      </c>
      <c r="I4">
        <v>10.01297158537268</v>
      </c>
      <c r="J4">
        <v>56.660602569580078</v>
      </c>
      <c r="K4">
        <v>64.872756958007812</v>
      </c>
      <c r="L4">
        <v>0.14493588165327195</v>
      </c>
      <c r="N4" t="str">
        <v>GOOG</v>
      </c>
      <c r="O4">
        <v>13.7149152621417</v>
      </c>
      <c r="P4">
        <v>155.80143737792969</v>
      </c>
      <c r="Q4">
        <v>177.11602783203119</v>
      </c>
      <c r="R4">
        <v>0.1368061220282481</v>
      </c>
      <c r="T4" t="str">
        <v>AES</v>
      </c>
      <c r="U4">
        <v>3.771531430980827</v>
      </c>
      <c r="V4">
        <v>11.918039321899411</v>
      </c>
      <c r="W4">
        <v>11.886983871459959</v>
      </c>
      <c r="X4">
        <v>-2.6057516341959808E-3</v>
      </c>
      <c r="AR4" t="str">
        <v>AES</v>
      </c>
      <c r="AS4">
        <v>3.771531430980827</v>
      </c>
      <c r="AT4">
        <v>11.918039321899411</v>
      </c>
      <c r="AU4">
        <v>11.886983871459959</v>
      </c>
    </row>
    <row r="5" spans="1:47" x14ac:dyDescent="0.2">
      <c r="B5" t="str">
        <v>ABNB</v>
      </c>
      <c r="C5">
        <v>13.491110907660589</v>
      </c>
      <c r="D5">
        <v>121.4199981689453</v>
      </c>
      <c r="E5">
        <v>136.9100036621094</v>
      </c>
      <c r="F5">
        <v>0.12757375825035938</v>
      </c>
      <c r="H5" t="str">
        <v>AEP</v>
      </c>
      <c r="I5">
        <v>11.146987681826131</v>
      </c>
      <c r="J5">
        <v>102.1064071655273</v>
      </c>
      <c r="K5">
        <v>111.61985778808589</v>
      </c>
      <c r="L5">
        <v>9.3171926097997904E-2</v>
      </c>
      <c r="N5" t="str">
        <v>APA</v>
      </c>
      <c r="O5">
        <v>5.2049577236175537</v>
      </c>
      <c r="P5">
        <v>19.98703765869141</v>
      </c>
      <c r="Q5">
        <v>17.676298141479489</v>
      </c>
      <c r="R5">
        <v>-0.11561190590978301</v>
      </c>
      <c r="T5" t="str">
        <v>AFL</v>
      </c>
      <c r="U5">
        <v>7.3224328285039846</v>
      </c>
      <c r="V5">
        <v>100.7566757202148</v>
      </c>
      <c r="W5">
        <v>109.4086380004883</v>
      </c>
      <c r="X5">
        <v>8.5869866372910233E-2</v>
      </c>
      <c r="AR5" t="str">
        <v>AFL</v>
      </c>
      <c r="AS5">
        <v>7.3224328285039846</v>
      </c>
      <c r="AT5">
        <v>100.7566757202148</v>
      </c>
      <c r="AU5">
        <v>109.4086380004883</v>
      </c>
    </row>
    <row r="6" spans="1:47" x14ac:dyDescent="0.2">
      <c r="B6" t="str">
        <v>ALL</v>
      </c>
      <c r="C6">
        <v>3.7799389752106549</v>
      </c>
      <c r="D6">
        <v>213.64215087890619</v>
      </c>
      <c r="E6">
        <v>209.1000061035156</v>
      </c>
      <c r="F6">
        <v>-2.1260527272846615E-2</v>
      </c>
      <c r="H6" t="str">
        <v>AIG</v>
      </c>
      <c r="I6">
        <v>10.58078670501709</v>
      </c>
      <c r="J6">
        <v>84.646293640136719</v>
      </c>
      <c r="K6">
        <v>78.130462646484375</v>
      </c>
      <c r="L6">
        <v>-7.697715651146636E-2</v>
      </c>
      <c r="N6" t="str">
        <v>AMAT</v>
      </c>
      <c r="O6">
        <v>13.63756295406457</v>
      </c>
      <c r="P6">
        <v>144.0126647949219</v>
      </c>
      <c r="Q6">
        <v>182.18968200683591</v>
      </c>
      <c r="R6">
        <v>0.26509485999914767</v>
      </c>
      <c r="T6" t="str">
        <v>ALL</v>
      </c>
      <c r="U6">
        <v>6.5936909041591196</v>
      </c>
      <c r="V6">
        <v>188.84330749511719</v>
      </c>
      <c r="W6">
        <v>204.10057067871091</v>
      </c>
      <c r="X6">
        <v>8.0793242746970098E-2</v>
      </c>
      <c r="AR6" t="str">
        <v>ALL</v>
      </c>
      <c r="AS6">
        <v>6.5936909041591196</v>
      </c>
      <c r="AT6">
        <v>188.84330749511719</v>
      </c>
      <c r="AU6">
        <v>204.10057067871091</v>
      </c>
    </row>
    <row r="7" spans="1:47" x14ac:dyDescent="0.2">
      <c r="B7" t="str">
        <v>MO</v>
      </c>
      <c r="C7">
        <v>11.5022618719872</v>
      </c>
      <c r="D7">
        <v>64.872756958007812</v>
      </c>
      <c r="E7">
        <v>57.770000457763672</v>
      </c>
      <c r="F7">
        <v>-0.10948750805891849</v>
      </c>
      <c r="H7" t="str">
        <v>AMP</v>
      </c>
      <c r="I7">
        <v>12.182500783134911</v>
      </c>
      <c r="J7">
        <v>530.18243408203125</v>
      </c>
      <c r="K7">
        <v>489.54660034179688</v>
      </c>
      <c r="L7">
        <v>-7.6645002037066909E-2</v>
      </c>
      <c r="N7" t="str">
        <v>T</v>
      </c>
      <c r="O7">
        <v>11.103851287091359</v>
      </c>
      <c r="P7">
        <v>27.09339714050293</v>
      </c>
      <c r="Q7">
        <v>28.01998329162598</v>
      </c>
      <c r="R7">
        <v>3.4199703577882531E-2</v>
      </c>
      <c r="T7" t="str">
        <v>MO</v>
      </c>
      <c r="U7">
        <v>6.7588462409142354</v>
      </c>
      <c r="V7">
        <v>48.596969604492188</v>
      </c>
      <c r="W7">
        <v>57.01470947265625</v>
      </c>
      <c r="X7">
        <v>0.17321532467295958</v>
      </c>
      <c r="AR7" t="str">
        <v>MO</v>
      </c>
      <c r="AS7">
        <v>6.7588462409142354</v>
      </c>
      <c r="AT7">
        <v>48.596969604492188</v>
      </c>
      <c r="AU7">
        <v>57.01470947265625</v>
      </c>
    </row>
    <row r="8" spans="1:47" x14ac:dyDescent="0.2">
      <c r="B8" t="str">
        <v>AEE</v>
      </c>
      <c r="C8">
        <v>10.931838313235509</v>
      </c>
      <c r="D8">
        <v>103.6338272094727</v>
      </c>
      <c r="E8">
        <v>100.7399978637695</v>
      </c>
      <c r="F8">
        <v>-2.7923598149607702E-2</v>
      </c>
      <c r="H8" t="str">
        <v>APA</v>
      </c>
      <c r="I8">
        <v>2.6461524163891461</v>
      </c>
      <c r="J8">
        <v>17.676298141479489</v>
      </c>
      <c r="K8">
        <v>23.784999847412109</v>
      </c>
      <c r="L8">
        <v>0.34558716180498461</v>
      </c>
      <c r="N8" t="str">
        <v>ATO</v>
      </c>
      <c r="O8">
        <v>12.46366782266586</v>
      </c>
      <c r="P8">
        <v>152.05674743652341</v>
      </c>
      <c r="Q8">
        <v>152.4376525878906</v>
      </c>
      <c r="R8">
        <v>2.5050197231543283E-3</v>
      </c>
      <c r="T8" t="str">
        <v>AIG</v>
      </c>
      <c r="U8">
        <v>11.98655892921977</v>
      </c>
      <c r="V8">
        <v>71.03033447265625</v>
      </c>
      <c r="W8">
        <v>85.530471801757812</v>
      </c>
      <c r="X8">
        <v>0.20414006827862421</v>
      </c>
      <c r="AR8" t="str">
        <v>AIG</v>
      </c>
      <c r="AS8">
        <v>11.98655892921977</v>
      </c>
      <c r="AT8">
        <v>71.03033447265625</v>
      </c>
      <c r="AU8">
        <v>85.530471801757812</v>
      </c>
    </row>
    <row r="9" spans="1:47" x14ac:dyDescent="0.2">
      <c r="B9" t="str">
        <v>AMP</v>
      </c>
      <c r="C9">
        <v>12.923616693289249</v>
      </c>
      <c r="D9">
        <v>489.54660034179688</v>
      </c>
      <c r="E9">
        <v>494.47000122070312</v>
      </c>
      <c r="F9">
        <v>1.0057062750448634E-2</v>
      </c>
      <c r="H9" t="str">
        <v>APTV</v>
      </c>
      <c r="I9">
        <v>9.4750001695421009</v>
      </c>
      <c r="J9">
        <v>68.220001220703125</v>
      </c>
      <c r="K9">
        <v>86.220001220703125</v>
      </c>
      <c r="L9">
        <v>0.26385223802279023</v>
      </c>
      <c r="N9" t="str">
        <v>BAC</v>
      </c>
      <c r="O9">
        <v>11.275483225728131</v>
      </c>
      <c r="P9">
        <v>41.042758941650391</v>
      </c>
      <c r="Q9">
        <v>46.814968109130859</v>
      </c>
      <c r="R9">
        <v>0.14063891698135339</v>
      </c>
      <c r="T9" t="str">
        <v>AMP</v>
      </c>
      <c r="U9">
        <v>12.125689188639321</v>
      </c>
      <c r="V9">
        <v>523.82977294921875</v>
      </c>
      <c r="W9">
        <v>479.30410766601562</v>
      </c>
      <c r="X9">
        <v>-8.5000256920332681E-2</v>
      </c>
      <c r="AR9" t="str">
        <v>AMP</v>
      </c>
      <c r="AS9">
        <v>12.125689188639321</v>
      </c>
      <c r="AT9">
        <v>523.82977294921875</v>
      </c>
      <c r="AU9">
        <v>479.30410766601562</v>
      </c>
    </row>
    <row r="10" spans="1:47" x14ac:dyDescent="0.2">
      <c r="B10" t="str">
        <v>AMGN</v>
      </c>
      <c r="C10">
        <v>11.714109848175561</v>
      </c>
      <c r="D10">
        <v>280.20150756835938</v>
      </c>
      <c r="E10">
        <v>328.69000244140619</v>
      </c>
      <c r="F10">
        <v>0.17304865806697103</v>
      </c>
      <c r="H10" t="str">
        <v>ACGL</v>
      </c>
      <c r="I10">
        <v>6.8977275039210468</v>
      </c>
      <c r="J10">
        <v>91.050003051757812</v>
      </c>
      <c r="K10">
        <v>90.730003356933594</v>
      </c>
      <c r="L10">
        <v>-3.5145489741753595E-3</v>
      </c>
      <c r="N10" t="str">
        <v>BK</v>
      </c>
      <c r="O10">
        <v>12.915247791218309</v>
      </c>
      <c r="P10">
        <v>82.140975952148438</v>
      </c>
      <c r="Q10">
        <v>89.78448486328125</v>
      </c>
      <c r="R10">
        <v>9.3053543892460816E-2</v>
      </c>
      <c r="T10" t="str">
        <v>APA</v>
      </c>
      <c r="U10">
        <v>5.4930632313092556</v>
      </c>
      <c r="V10">
        <v>21.093362808227539</v>
      </c>
      <c r="W10">
        <v>19.98703765869141</v>
      </c>
      <c r="X10">
        <v>-5.2448969829723087E-2</v>
      </c>
      <c r="AR10" t="str">
        <v>APA</v>
      </c>
      <c r="AS10">
        <v>5.4930632313092556</v>
      </c>
      <c r="AT10">
        <v>21.093362808227539</v>
      </c>
      <c r="AU10">
        <v>19.98703765869141</v>
      </c>
    </row>
    <row r="11" spans="1:47" x14ac:dyDescent="0.2">
      <c r="B11" t="str">
        <v>APA</v>
      </c>
      <c r="C11">
        <v>10.43201747693514</v>
      </c>
      <c r="D11">
        <v>23.784999847412109</v>
      </c>
      <c r="E11">
        <v>24.46733283996582</v>
      </c>
      <c r="F11">
        <v>2.8687534031157504E-2</v>
      </c>
      <c r="H11" t="str">
        <v>AIZ</v>
      </c>
      <c r="I11">
        <v>10.652085179867949</v>
      </c>
      <c r="J11">
        <v>195.99836730957031</v>
      </c>
      <c r="K11">
        <v>215.76458740234381</v>
      </c>
      <c r="L11">
        <v>0.10084890177454217</v>
      </c>
      <c r="N11" t="str">
        <v>BMY</v>
      </c>
      <c r="O11">
        <v>11.995275355567619</v>
      </c>
      <c r="P11">
        <v>58.057132720947273</v>
      </c>
      <c r="Q11">
        <v>44.541641235351562</v>
      </c>
      <c r="R11">
        <v>-0.23279639989384562</v>
      </c>
      <c r="T11" t="str">
        <v>APTV</v>
      </c>
      <c r="U11">
        <v>13.18201767770868</v>
      </c>
      <c r="V11">
        <v>60.110000610351562</v>
      </c>
      <c r="W11">
        <v>59.5</v>
      </c>
      <c r="X11">
        <v>-1.0148071937409265E-2</v>
      </c>
      <c r="AR11" t="str">
        <v>APTV</v>
      </c>
      <c r="AS11">
        <v>13.18201767770868</v>
      </c>
      <c r="AT11">
        <v>60.110000610351562</v>
      </c>
      <c r="AU11">
        <v>59.5</v>
      </c>
    </row>
    <row r="12" spans="1:47" x14ac:dyDescent="0.2">
      <c r="B12" t="str">
        <v>APO</v>
      </c>
      <c r="C12">
        <v>11.76857914484984</v>
      </c>
      <c r="D12">
        <v>132.74957275390619</v>
      </c>
      <c r="E12">
        <v>146.05999755859381</v>
      </c>
      <c r="F12">
        <v>0.10026717622182291</v>
      </c>
      <c r="H12" t="str">
        <v>T</v>
      </c>
      <c r="I12">
        <v>11.2983803595266</v>
      </c>
      <c r="J12">
        <v>28.01998329162598</v>
      </c>
      <c r="K12">
        <v>27.61544036865234</v>
      </c>
      <c r="L12">
        <v>-1.4437657537595362E-2</v>
      </c>
      <c r="N12" t="str">
        <v>BG</v>
      </c>
      <c r="O12">
        <v>12.463127990915041</v>
      </c>
      <c r="P12">
        <v>74.558120727539062</v>
      </c>
      <c r="Q12">
        <v>79.002288818359375</v>
      </c>
      <c r="R12">
        <v>5.9606761107362488E-2</v>
      </c>
      <c r="T12" t="str">
        <v>ACGL</v>
      </c>
      <c r="U12">
        <v>9.2631047771823027</v>
      </c>
      <c r="V12">
        <v>91.889999389648438</v>
      </c>
      <c r="W12">
        <v>96.180000305175781</v>
      </c>
      <c r="X12">
        <v>4.6686265578652505E-2</v>
      </c>
      <c r="AR12" t="str">
        <v>ACGL</v>
      </c>
      <c r="AS12">
        <v>9.2631047771823027</v>
      </c>
      <c r="AT12">
        <v>91.889999389648438</v>
      </c>
      <c r="AU12">
        <v>96.180000305175781</v>
      </c>
    </row>
    <row r="13" spans="1:47" x14ac:dyDescent="0.2">
      <c r="B13" t="str">
        <v>ACGL</v>
      </c>
      <c r="C13">
        <v>6.2486228207254539</v>
      </c>
      <c r="D13">
        <v>90.730003356933594</v>
      </c>
      <c r="E13">
        <v>96.660003662109375</v>
      </c>
      <c r="F13">
        <v>6.5358757696139885E-2</v>
      </c>
      <c r="H13" t="str">
        <v>BKR</v>
      </c>
      <c r="I13">
        <v>13.365527945505059</v>
      </c>
      <c r="J13">
        <v>37.958099365234382</v>
      </c>
      <c r="K13">
        <v>48.4896240234375</v>
      </c>
      <c r="L13">
        <v>0.27745131696053477</v>
      </c>
      <c r="N13" t="str">
        <v>COF</v>
      </c>
      <c r="O13">
        <v>12.83013669052565</v>
      </c>
      <c r="P13">
        <v>177.569091796875</v>
      </c>
      <c r="Q13">
        <v>211.378662109375</v>
      </c>
      <c r="R13">
        <v>0.19040233843835544</v>
      </c>
      <c r="T13" t="str">
        <v>ADM</v>
      </c>
      <c r="U13">
        <v>10.1563767689501</v>
      </c>
      <c r="V13">
        <v>48.189651489257812</v>
      </c>
      <c r="W13">
        <v>46.723911285400391</v>
      </c>
      <c r="X13">
        <v>-3.0416078111379516E-2</v>
      </c>
      <c r="AR13" t="str">
        <v>ADM</v>
      </c>
      <c r="AS13">
        <v>10.1563767689501</v>
      </c>
      <c r="AT13">
        <v>48.189651489257812</v>
      </c>
      <c r="AU13">
        <v>46.723911285400391</v>
      </c>
    </row>
    <row r="14" spans="1:47" x14ac:dyDescent="0.2">
      <c r="B14" t="str">
        <v>AIZ</v>
      </c>
      <c r="C14">
        <v>10.33355303651072</v>
      </c>
      <c r="D14">
        <v>215.76458740234381</v>
      </c>
      <c r="E14">
        <v>242.1300048828125</v>
      </c>
      <c r="F14">
        <v>0.12219529533502257</v>
      </c>
      <c r="H14" t="str">
        <v>BAC</v>
      </c>
      <c r="I14">
        <v>13.004157808091909</v>
      </c>
      <c r="J14">
        <v>46.814968109130859</v>
      </c>
      <c r="K14">
        <v>51.323287963867188</v>
      </c>
      <c r="L14">
        <v>9.6300820802161749E-2</v>
      </c>
      <c r="N14" t="str">
        <v>CNC</v>
      </c>
      <c r="O14">
        <v>5.7490529436053652</v>
      </c>
      <c r="P14">
        <v>60.709999084472663</v>
      </c>
      <c r="Q14">
        <v>54.279998779296882</v>
      </c>
      <c r="R14">
        <v>-0.10591336521400696</v>
      </c>
      <c r="T14" t="str">
        <v>AIZ</v>
      </c>
      <c r="U14">
        <v>13.435623639653461</v>
      </c>
      <c r="V14">
        <v>209.05830383300781</v>
      </c>
      <c r="W14">
        <v>207.34730529785159</v>
      </c>
      <c r="X14">
        <v>-8.1843127193978286E-3</v>
      </c>
      <c r="AR14" t="str">
        <v>AIZ</v>
      </c>
      <c r="AS14">
        <v>13.435623639653461</v>
      </c>
      <c r="AT14">
        <v>209.05830383300781</v>
      </c>
      <c r="AU14">
        <v>207.34730529785159</v>
      </c>
    </row>
    <row r="15" spans="1:47" x14ac:dyDescent="0.2">
      <c r="B15" t="str">
        <v>T</v>
      </c>
      <c r="C15">
        <v>5.3518295288085938</v>
      </c>
      <c r="D15">
        <v>27.61544036865234</v>
      </c>
      <c r="E15">
        <v>24.52249717712402</v>
      </c>
      <c r="F15">
        <v>-0.11200050226391732</v>
      </c>
      <c r="H15" t="str">
        <v>BIIB</v>
      </c>
      <c r="I15">
        <v>7.2511545229728993</v>
      </c>
      <c r="J15">
        <v>125.5899963378906</v>
      </c>
      <c r="K15">
        <v>140.08000183105469</v>
      </c>
      <c r="L15">
        <v>0.11537547508306158</v>
      </c>
      <c r="N15" t="str">
        <v>CF</v>
      </c>
      <c r="O15">
        <v>10.375937384528079</v>
      </c>
      <c r="P15">
        <v>76.781936645507812</v>
      </c>
      <c r="Q15">
        <v>90.918258666992188</v>
      </c>
      <c r="R15">
        <v>0.18410999564585001</v>
      </c>
      <c r="T15" t="str">
        <v>T</v>
      </c>
      <c r="U15">
        <v>9.5490217208862287</v>
      </c>
      <c r="V15">
        <v>21.38980865478516</v>
      </c>
      <c r="W15">
        <v>27.09339714050293</v>
      </c>
      <c r="X15">
        <v>0.26664981336529198</v>
      </c>
      <c r="AR15" t="str">
        <v>T</v>
      </c>
      <c r="AS15">
        <v>9.5490217208862287</v>
      </c>
      <c r="AT15">
        <v>21.38980865478516</v>
      </c>
      <c r="AU15">
        <v>27.09339714050293</v>
      </c>
    </row>
    <row r="16" spans="1:47" x14ac:dyDescent="0.2">
      <c r="B16" t="str">
        <v>BALL</v>
      </c>
      <c r="C16">
        <v>10.63906863584357</v>
      </c>
      <c r="D16">
        <v>50.216403961181641</v>
      </c>
      <c r="E16">
        <v>53.240001678466797</v>
      </c>
      <c r="F16">
        <v>6.0211354831828705E-2</v>
      </c>
      <c r="H16" t="str">
        <v>BK</v>
      </c>
      <c r="I16">
        <v>11.51083139272836</v>
      </c>
      <c r="J16">
        <v>89.78448486328125</v>
      </c>
      <c r="K16">
        <v>107.94708251953119</v>
      </c>
      <c r="L16">
        <v>0.20229104932669517</v>
      </c>
      <c r="N16" t="str">
        <v>CHTR</v>
      </c>
      <c r="O16">
        <v>10.725552933041239</v>
      </c>
      <c r="P16">
        <v>368.52999877929688</v>
      </c>
      <c r="Q16">
        <v>408.80999755859381</v>
      </c>
      <c r="R16">
        <v>0.10929910431367511</v>
      </c>
      <c r="T16" t="str">
        <v>BKR</v>
      </c>
      <c r="U16">
        <v>8.4208248042258891</v>
      </c>
      <c r="V16">
        <v>40.083126068115227</v>
      </c>
      <c r="W16">
        <v>43.239898681640618</v>
      </c>
      <c r="X16">
        <v>7.8755649151738605E-2</v>
      </c>
      <c r="AR16" t="str">
        <v>BKR</v>
      </c>
      <c r="AS16">
        <v>8.4208248042258891</v>
      </c>
      <c r="AT16">
        <v>40.083126068115227</v>
      </c>
      <c r="AU16">
        <v>43.239898681640618</v>
      </c>
    </row>
    <row r="17" spans="2:47" x14ac:dyDescent="0.2">
      <c r="B17" t="str">
        <v>BAC</v>
      </c>
      <c r="C17">
        <v>11.880390732376661</v>
      </c>
      <c r="D17">
        <v>51.323287963867188</v>
      </c>
      <c r="E17">
        <v>55.279998779296882</v>
      </c>
      <c r="F17">
        <v>7.7093868542002078E-2</v>
      </c>
      <c r="H17" t="str">
        <v>BG</v>
      </c>
      <c r="I17">
        <v>7.500460345774437</v>
      </c>
      <c r="J17">
        <v>79.002288818359375</v>
      </c>
      <c r="K17">
        <v>80.657615661621094</v>
      </c>
      <c r="L17">
        <v>2.0952897289692657E-2</v>
      </c>
      <c r="N17" t="str">
        <v>C</v>
      </c>
      <c r="O17">
        <v>8.710219212727063</v>
      </c>
      <c r="P17">
        <v>69.551971435546875</v>
      </c>
      <c r="Q17">
        <v>84.0626220703125</v>
      </c>
      <c r="R17">
        <v>0.20863032830367004</v>
      </c>
      <c r="T17" t="str">
        <v>BAC</v>
      </c>
      <c r="U17">
        <v>12.926515326442489</v>
      </c>
      <c r="V17">
        <v>42.916030883789062</v>
      </c>
      <c r="W17">
        <v>41.042758941650391</v>
      </c>
      <c r="X17">
        <v>-4.3649701604774327E-2</v>
      </c>
      <c r="AR17" t="str">
        <v>BAC</v>
      </c>
      <c r="AS17">
        <v>12.926515326442489</v>
      </c>
      <c r="AT17">
        <v>42.916030883789062</v>
      </c>
      <c r="AU17">
        <v>41.042758941650391</v>
      </c>
    </row>
    <row r="18" spans="2:47" x14ac:dyDescent="0.2">
      <c r="B18" t="str">
        <v>BRK-B</v>
      </c>
      <c r="C18">
        <v>8.8043435433827675</v>
      </c>
      <c r="D18">
        <v>502.739990234375</v>
      </c>
      <c r="E18">
        <v>503.70999145507812</v>
      </c>
      <c r="F18">
        <v>1.9294292070358577E-3</v>
      </c>
      <c r="H18" t="str">
        <v>KMX</v>
      </c>
      <c r="I18">
        <v>12.175724471824759</v>
      </c>
      <c r="J18">
        <v>67.209999084472656</v>
      </c>
      <c r="K18">
        <v>44.869998931884773</v>
      </c>
      <c r="L18">
        <v>-0.33239102004018672</v>
      </c>
      <c r="N18" t="str">
        <v>CFG</v>
      </c>
      <c r="O18">
        <v>12.75717172867212</v>
      </c>
      <c r="P18">
        <v>39.802375793457031</v>
      </c>
      <c r="Q18">
        <v>43.966415405273438</v>
      </c>
      <c r="R18">
        <v>0.10461786586369846</v>
      </c>
      <c r="T18" t="str">
        <v>BRK-B</v>
      </c>
      <c r="U18">
        <v>10.95702215353778</v>
      </c>
      <c r="V18">
        <v>452.16000366210938</v>
      </c>
      <c r="W18">
        <v>532.58001708984375</v>
      </c>
      <c r="X18">
        <v>0.17785742386854439</v>
      </c>
      <c r="AR18" t="str">
        <v>BRK-B</v>
      </c>
      <c r="AS18">
        <v>10.95702215353778</v>
      </c>
      <c r="AT18">
        <v>452.16000366210938</v>
      </c>
      <c r="AU18">
        <v>532.58001708984375</v>
      </c>
    </row>
    <row r="19" spans="2:47" x14ac:dyDescent="0.2">
      <c r="B19" t="str">
        <v>BIIB</v>
      </c>
      <c r="C19">
        <v>11.01257876030304</v>
      </c>
      <c r="D19">
        <v>140.08000183105469</v>
      </c>
      <c r="E19">
        <v>176.3999938964844</v>
      </c>
      <c r="F19">
        <v>0.25928035116128795</v>
      </c>
      <c r="H19" t="str">
        <v>CF</v>
      </c>
      <c r="I19">
        <v>9.5905336146616236</v>
      </c>
      <c r="J19">
        <v>90.918258666992188</v>
      </c>
      <c r="K19">
        <v>89.16815185546875</v>
      </c>
      <c r="L19">
        <v>-1.9249233731296844E-2</v>
      </c>
      <c r="N19" t="str">
        <v>CTSH</v>
      </c>
      <c r="O19">
        <v>14.09343747950312</v>
      </c>
      <c r="P19">
        <v>75.540824890136719</v>
      </c>
      <c r="Q19">
        <v>77.346061706542969</v>
      </c>
      <c r="R19">
        <v>2.389749938568592E-2</v>
      </c>
      <c r="T19" t="str">
        <v>BK</v>
      </c>
      <c r="U19">
        <v>12.03631132076948</v>
      </c>
      <c r="V19">
        <v>75.106582641601562</v>
      </c>
      <c r="W19">
        <v>82.140975952148438</v>
      </c>
      <c r="X19">
        <v>9.3658812092597091E-2</v>
      </c>
      <c r="AR19" t="str">
        <v>BK</v>
      </c>
      <c r="AS19">
        <v>12.03631132076948</v>
      </c>
      <c r="AT19">
        <v>75.106582641601562</v>
      </c>
      <c r="AU19">
        <v>82.140975952148438</v>
      </c>
    </row>
    <row r="20" spans="2:47" x14ac:dyDescent="0.2">
      <c r="B20" t="str">
        <v>BK</v>
      </c>
      <c r="C20">
        <v>14.20356348941201</v>
      </c>
      <c r="D20">
        <v>107.94708251953119</v>
      </c>
      <c r="E20">
        <v>116.35459899902339</v>
      </c>
      <c r="F20">
        <v>7.7885536906205907E-2</v>
      </c>
      <c r="H20" t="str">
        <v>CHTR</v>
      </c>
      <c r="I20">
        <v>10.861052007401531</v>
      </c>
      <c r="J20">
        <v>408.80999755859381</v>
      </c>
      <c r="K20">
        <v>275.1099853515625</v>
      </c>
      <c r="L20">
        <v>-0.32704682616737712</v>
      </c>
      <c r="N20" t="str">
        <v>CMCSA</v>
      </c>
      <c r="O20">
        <v>9.2122951356444105</v>
      </c>
      <c r="P20">
        <v>33.21478271484375</v>
      </c>
      <c r="Q20">
        <v>32.416950225830078</v>
      </c>
      <c r="R20">
        <v>-2.4020403681795546E-2</v>
      </c>
      <c r="T20" t="str">
        <v>BG</v>
      </c>
      <c r="U20">
        <v>4.1331467801579747</v>
      </c>
      <c r="V20">
        <v>74.293098449707031</v>
      </c>
      <c r="W20">
        <v>74.558120727539062</v>
      </c>
      <c r="X20">
        <v>3.5672529933778304E-3</v>
      </c>
      <c r="AR20" t="str">
        <v>BG</v>
      </c>
      <c r="AS20">
        <v>4.1331467801579747</v>
      </c>
      <c r="AT20">
        <v>74.293098449707031</v>
      </c>
      <c r="AU20">
        <v>74.558120727539062</v>
      </c>
    </row>
    <row r="21" spans="2:47" x14ac:dyDescent="0.2">
      <c r="B21" t="str">
        <v>BMY</v>
      </c>
      <c r="C21">
        <v>10.17799289138229</v>
      </c>
      <c r="D21">
        <v>43.968929290771477</v>
      </c>
      <c r="E21">
        <v>53.576847076416023</v>
      </c>
      <c r="F21">
        <v>0.21851607352333516</v>
      </c>
      <c r="H21" t="str">
        <v>CB</v>
      </c>
      <c r="I21">
        <v>9.7287737050946888</v>
      </c>
      <c r="J21">
        <v>289.72000122070312</v>
      </c>
      <c r="K21">
        <v>282.25</v>
      </c>
      <c r="L21">
        <v>-2.5783519222798229E-2</v>
      </c>
      <c r="N21" t="str">
        <v>COP</v>
      </c>
      <c r="O21">
        <v>11.472221340299191</v>
      </c>
      <c r="P21">
        <v>102.33221435546881</v>
      </c>
      <c r="Q21">
        <v>88.187477111816406</v>
      </c>
      <c r="R21">
        <v>-0.13822369947471466</v>
      </c>
      <c r="T21" t="str">
        <v>CARR</v>
      </c>
      <c r="U21">
        <v>5.8590686279722206</v>
      </c>
      <c r="V21">
        <v>67.262107849121094</v>
      </c>
      <c r="W21">
        <v>62.500621795654297</v>
      </c>
      <c r="X21">
        <v>-7.0790021391353333E-2</v>
      </c>
      <c r="AR21" t="str">
        <v>CARR</v>
      </c>
      <c r="AS21">
        <v>5.8590686279722206</v>
      </c>
      <c r="AT21">
        <v>67.262107849121094</v>
      </c>
      <c r="AU21">
        <v>62.500621795654297</v>
      </c>
    </row>
    <row r="22" spans="2:47" x14ac:dyDescent="0.2">
      <c r="B22" t="str">
        <v>BF-B</v>
      </c>
      <c r="C22">
        <v>14.292222895520799</v>
      </c>
      <c r="D22">
        <v>26.869379043579102</v>
      </c>
      <c r="E22">
        <v>26.329999923706051</v>
      </c>
      <c r="F22">
        <v>-2.0074119278984393E-2</v>
      </c>
      <c r="H22" t="str">
        <v>CI</v>
      </c>
      <c r="I22">
        <v>14.19624090194702</v>
      </c>
      <c r="J22">
        <v>327.08139038085938</v>
      </c>
      <c r="K22">
        <v>286.63983154296881</v>
      </c>
      <c r="L22">
        <v>-0.12364371690728017</v>
      </c>
      <c r="N22" t="str">
        <v>ED</v>
      </c>
      <c r="O22">
        <v>11.93121851018045</v>
      </c>
      <c r="P22">
        <v>107.85821533203119</v>
      </c>
      <c r="Q22">
        <v>98.705314636230469</v>
      </c>
      <c r="R22">
        <v>-8.4860487146244681E-2</v>
      </c>
      <c r="T22" t="str">
        <v>CF</v>
      </c>
      <c r="U22">
        <v>10.85347271470166</v>
      </c>
      <c r="V22">
        <v>82.052253723144531</v>
      </c>
      <c r="W22">
        <v>76.781936645507812</v>
      </c>
      <c r="X22">
        <v>-6.4231228741376017E-2</v>
      </c>
      <c r="AR22" t="str">
        <v>CF</v>
      </c>
      <c r="AS22">
        <v>10.85347271470166</v>
      </c>
      <c r="AT22">
        <v>82.052253723144531</v>
      </c>
      <c r="AU22">
        <v>76.781936645507812</v>
      </c>
    </row>
    <row r="23" spans="2:47" x14ac:dyDescent="0.2">
      <c r="B23" t="str">
        <v>CPB</v>
      </c>
      <c r="C23">
        <v>10.67073080274794</v>
      </c>
      <c r="D23">
        <v>30.731704711914059</v>
      </c>
      <c r="E23">
        <v>27.643266677856449</v>
      </c>
      <c r="F23">
        <v>-0.10049680169093533</v>
      </c>
      <c r="H23" t="str">
        <v>CINF</v>
      </c>
      <c r="I23">
        <v>8.4086709915230813</v>
      </c>
      <c r="J23">
        <v>147.3199157714844</v>
      </c>
      <c r="K23">
        <v>157.2778015136719</v>
      </c>
      <c r="L23">
        <v>6.7593615500253848E-2</v>
      </c>
      <c r="N23" t="str">
        <v>CTRA</v>
      </c>
      <c r="O23">
        <v>10.347900671117451</v>
      </c>
      <c r="P23">
        <v>28.14628982543945</v>
      </c>
      <c r="Q23">
        <v>24.937717437744141</v>
      </c>
      <c r="R23">
        <v>-0.11399628184014883</v>
      </c>
      <c r="T23" t="str">
        <v>CHTR</v>
      </c>
      <c r="U23">
        <v>8.3134688148202827</v>
      </c>
      <c r="V23">
        <v>343.17999267578119</v>
      </c>
      <c r="W23">
        <v>368.52999877929688</v>
      </c>
      <c r="X23">
        <v>7.3867960383882478E-2</v>
      </c>
      <c r="AR23" t="str">
        <v>CHTR</v>
      </c>
      <c r="AS23">
        <v>8.3134688148202827</v>
      </c>
      <c r="AT23">
        <v>343.17999267578119</v>
      </c>
      <c r="AU23">
        <v>368.52999877929688</v>
      </c>
    </row>
    <row r="24" spans="2:47" x14ac:dyDescent="0.2">
      <c r="B24" t="str">
        <v>COF</v>
      </c>
      <c r="C24">
        <v>10.961417283083829</v>
      </c>
      <c r="D24">
        <v>211.77458190917969</v>
      </c>
      <c r="E24">
        <v>243.9700012207031</v>
      </c>
      <c r="F24">
        <v>0.15202683448257512</v>
      </c>
      <c r="H24" t="str">
        <v>C</v>
      </c>
      <c r="I24">
        <v>10.58999553413844</v>
      </c>
      <c r="J24">
        <v>84.0626220703125</v>
      </c>
      <c r="K24">
        <v>100.8983993530273</v>
      </c>
      <c r="L24">
        <v>0.20027661364920132</v>
      </c>
      <c r="N24" t="str">
        <v>CMI</v>
      </c>
      <c r="O24">
        <v>12.886177279515341</v>
      </c>
      <c r="P24">
        <v>308.7528076171875</v>
      </c>
      <c r="Q24">
        <v>324.43753051757812</v>
      </c>
      <c r="R24">
        <v>5.0800259992575029E-2</v>
      </c>
      <c r="T24" t="str">
        <v>CB</v>
      </c>
      <c r="U24">
        <v>10.809354569847869</v>
      </c>
      <c r="V24">
        <v>273.62091064453119</v>
      </c>
      <c r="W24">
        <v>300.97738647460938</v>
      </c>
      <c r="X24">
        <v>9.9979478050995038E-2</v>
      </c>
      <c r="AR24" t="str">
        <v>CB</v>
      </c>
      <c r="AS24">
        <v>10.809354569847869</v>
      </c>
      <c r="AT24">
        <v>273.62091064453119</v>
      </c>
      <c r="AU24">
        <v>300.97738647460938</v>
      </c>
    </row>
    <row r="25" spans="2:47" x14ac:dyDescent="0.2">
      <c r="B25" t="str">
        <v>CCL</v>
      </c>
      <c r="C25">
        <v>5.1258864977681036</v>
      </c>
      <c r="D25">
        <v>28.909999847412109</v>
      </c>
      <c r="E25">
        <v>30.819999694824219</v>
      </c>
      <c r="F25">
        <v>6.6067099878697647E-2</v>
      </c>
      <c r="H25" t="str">
        <v>CFG</v>
      </c>
      <c r="I25">
        <v>11.81892887238533</v>
      </c>
      <c r="J25">
        <v>43.966415405273438</v>
      </c>
      <c r="K25">
        <v>52.683601379394531</v>
      </c>
      <c r="L25">
        <v>0.1982691992005228</v>
      </c>
      <c r="N25" t="str">
        <v>CVS</v>
      </c>
      <c r="O25">
        <v>11.57098729559716</v>
      </c>
      <c r="P25">
        <v>65.260368347167969</v>
      </c>
      <c r="Q25">
        <v>67.130180358886719</v>
      </c>
      <c r="R25">
        <v>2.8651569996844681E-2</v>
      </c>
      <c r="T25" t="str">
        <v>CI</v>
      </c>
      <c r="U25">
        <v>13.138334932383041</v>
      </c>
      <c r="V25">
        <v>269.5986328125</v>
      </c>
      <c r="W25">
        <v>323.95767211914062</v>
      </c>
      <c r="X25">
        <v>0.20162950657263221</v>
      </c>
      <c r="AM25" s="4" t="s">
        <v>508</v>
      </c>
      <c r="AN25" s="4"/>
      <c r="AO25" s="4"/>
      <c r="AP25" s="4"/>
      <c r="AQ25" s="4"/>
      <c r="AR25" t="str">
        <v>CI</v>
      </c>
      <c r="AS25">
        <v>13.138334932383041</v>
      </c>
      <c r="AT25">
        <v>269.5986328125</v>
      </c>
      <c r="AU25">
        <v>323.95767211914062</v>
      </c>
    </row>
    <row r="26" spans="2:47" x14ac:dyDescent="0.2">
      <c r="B26" t="str">
        <v>CF</v>
      </c>
      <c r="C26">
        <v>10.17901276888913</v>
      </c>
      <c r="D26">
        <v>89.16815185546875</v>
      </c>
      <c r="E26">
        <v>76.930000305175781</v>
      </c>
      <c r="F26">
        <v>-0.13724801171307885</v>
      </c>
      <c r="H26" t="str">
        <v>CLX</v>
      </c>
      <c r="I26">
        <v>10.89152159514251</v>
      </c>
      <c r="J26">
        <v>117.62843322753911</v>
      </c>
      <c r="K26">
        <v>122.0247344970703</v>
      </c>
      <c r="L26">
        <v>3.7374477827372216E-2</v>
      </c>
      <c r="N26" t="str">
        <v>DVN</v>
      </c>
      <c r="O26">
        <v>11.898139854530241</v>
      </c>
      <c r="P26">
        <v>36.646270751953118</v>
      </c>
      <c r="Q26">
        <v>31.388360977172852</v>
      </c>
      <c r="R26">
        <v>-0.14347734890596031</v>
      </c>
      <c r="T26" t="str">
        <v>CINF</v>
      </c>
      <c r="U26">
        <v>13.505215442318709</v>
      </c>
      <c r="V26">
        <v>139.9140319824219</v>
      </c>
      <c r="W26">
        <v>145.2586669921875</v>
      </c>
      <c r="X26">
        <v>3.8199420987575214E-2</v>
      </c>
      <c r="AM26" s="4" t="s">
        <v>509</v>
      </c>
      <c r="AN26" s="4"/>
      <c r="AO26" s="4"/>
      <c r="AP26" s="4"/>
      <c r="AQ26" s="4"/>
      <c r="AR26" t="str">
        <v>CINF</v>
      </c>
      <c r="AS26">
        <v>13.505215442318709</v>
      </c>
      <c r="AT26">
        <v>139.9140319824219</v>
      </c>
      <c r="AU26">
        <v>145.2586669921875</v>
      </c>
    </row>
    <row r="27" spans="2:47" x14ac:dyDescent="0.2">
      <c r="B27" t="str">
        <v>CHTR</v>
      </c>
      <c r="C27">
        <v>8.0914701573988967</v>
      </c>
      <c r="D27">
        <v>275.1099853515625</v>
      </c>
      <c r="E27">
        <v>209.6000061035156</v>
      </c>
      <c r="F27">
        <v>-0.23812286989267886</v>
      </c>
      <c r="H27" t="str">
        <v>CTSH</v>
      </c>
      <c r="I27">
        <v>14.760698798958581</v>
      </c>
      <c r="J27">
        <v>77.346061706542969</v>
      </c>
      <c r="K27">
        <v>66.777854919433594</v>
      </c>
      <c r="L27">
        <v>-0.13663535743042718</v>
      </c>
      <c r="N27" t="str">
        <v>FANG</v>
      </c>
      <c r="O27">
        <v>8.1036885579427089</v>
      </c>
      <c r="P27">
        <v>156.5632629394531</v>
      </c>
      <c r="Q27">
        <v>135.4851379394531</v>
      </c>
      <c r="R27">
        <v>-0.13463008246162725</v>
      </c>
      <c r="T27" t="str">
        <v>C</v>
      </c>
      <c r="U27">
        <v>12.610362154263489</v>
      </c>
      <c r="V27">
        <v>68.489852905273438</v>
      </c>
      <c r="W27">
        <v>69.551971435546875</v>
      </c>
      <c r="X27">
        <v>1.5507677199167394E-2</v>
      </c>
      <c r="AR27" t="str">
        <v>C</v>
      </c>
      <c r="AS27">
        <v>12.610362154263489</v>
      </c>
      <c r="AT27">
        <v>68.489852905273438</v>
      </c>
      <c r="AU27">
        <v>69.551971435546875</v>
      </c>
    </row>
    <row r="28" spans="2:47" x14ac:dyDescent="0.2">
      <c r="B28" t="str">
        <v>CB</v>
      </c>
      <c r="C28">
        <v>9.9337799621808944</v>
      </c>
      <c r="D28">
        <v>282.25</v>
      </c>
      <c r="E28">
        <v>314.1400146484375</v>
      </c>
      <c r="F28">
        <v>0.11298499432573074</v>
      </c>
      <c r="H28" t="str">
        <v>CMCSA</v>
      </c>
      <c r="I28">
        <v>2.694333606324157</v>
      </c>
      <c r="J28">
        <v>32.416950225830078</v>
      </c>
      <c r="K28">
        <v>28.80014801025391</v>
      </c>
      <c r="L28">
        <v>-0.11157132889985043</v>
      </c>
      <c r="N28" t="str">
        <v>DG</v>
      </c>
      <c r="O28">
        <v>12.083351478148041</v>
      </c>
      <c r="P28">
        <v>86.033462524414062</v>
      </c>
      <c r="Q28">
        <v>112.63514709472661</v>
      </c>
      <c r="R28">
        <v>0.3092016035361087</v>
      </c>
      <c r="T28" t="str">
        <v>CFG</v>
      </c>
      <c r="U28">
        <v>12.635852629879871</v>
      </c>
      <c r="V28">
        <v>41.951030731201172</v>
      </c>
      <c r="W28">
        <v>39.802375793457031</v>
      </c>
      <c r="X28">
        <v>-5.1218167951856158E-2</v>
      </c>
      <c r="AR28" t="str">
        <v>CFG</v>
      </c>
      <c r="AS28">
        <v>12.635852629879871</v>
      </c>
      <c r="AT28">
        <v>41.951030731201172</v>
      </c>
      <c r="AU28">
        <v>39.802375793457031</v>
      </c>
    </row>
    <row r="29" spans="2:47" x14ac:dyDescent="0.2">
      <c r="B29" t="str">
        <v>CI</v>
      </c>
      <c r="C29">
        <v>10.26646961113785</v>
      </c>
      <c r="D29">
        <v>286.63983154296881</v>
      </c>
      <c r="E29">
        <v>276.48001098632812</v>
      </c>
      <c r="F29">
        <v>-3.5444552496248838E-2</v>
      </c>
      <c r="H29" t="str">
        <v>CAG</v>
      </c>
      <c r="I29">
        <v>9.2903461096421722</v>
      </c>
      <c r="J29">
        <v>19.69553375244141</v>
      </c>
      <c r="K29">
        <v>17.94127082824707</v>
      </c>
      <c r="L29">
        <v>-8.9069072523961706E-2</v>
      </c>
      <c r="N29" t="str">
        <v>DLTR</v>
      </c>
      <c r="O29">
        <v>11.656832250749099</v>
      </c>
      <c r="P29">
        <v>75.069999694824219</v>
      </c>
      <c r="Q29">
        <v>99.040000915527344</v>
      </c>
      <c r="R29">
        <v>0.31930200237306999</v>
      </c>
      <c r="T29" t="str">
        <v>COIN</v>
      </c>
      <c r="U29">
        <v>12.45419091416149</v>
      </c>
      <c r="V29">
        <v>255.55999755859381</v>
      </c>
      <c r="W29">
        <v>172.22999572753909</v>
      </c>
      <c r="X29">
        <v>-0.32606825257129352</v>
      </c>
      <c r="AR29" t="str">
        <v>COIN</v>
      </c>
      <c r="AS29">
        <v>12.45419091416149</v>
      </c>
      <c r="AT29">
        <v>255.55999755859381</v>
      </c>
      <c r="AU29">
        <v>172.22999572753909</v>
      </c>
    </row>
    <row r="30" spans="2:47" x14ac:dyDescent="0.2">
      <c r="B30" t="str">
        <v>CINF</v>
      </c>
      <c r="C30">
        <v>5.4686300943557669</v>
      </c>
      <c r="D30">
        <v>157.2778015136719</v>
      </c>
      <c r="E30">
        <v>164.94999694824219</v>
      </c>
      <c r="F30">
        <v>4.8781171663970342E-2</v>
      </c>
      <c r="H30" t="str">
        <v>COP</v>
      </c>
      <c r="I30">
        <v>14.132608511509041</v>
      </c>
      <c r="J30">
        <v>88.187477111816406</v>
      </c>
      <c r="K30">
        <v>93.72039794921875</v>
      </c>
      <c r="L30">
        <v>6.2740436835344929E-2</v>
      </c>
      <c r="N30" t="str">
        <v>DHI</v>
      </c>
      <c r="O30">
        <v>12.162783707430931</v>
      </c>
      <c r="P30">
        <v>126.0064392089844</v>
      </c>
      <c r="Q30">
        <v>128.18902587890619</v>
      </c>
      <c r="R30">
        <v>1.7321231229317755E-2</v>
      </c>
      <c r="T30" t="str">
        <v>CMCSA</v>
      </c>
      <c r="U30">
        <v>6.6145315133968756</v>
      </c>
      <c r="V30">
        <v>33.375232696533203</v>
      </c>
      <c r="W30">
        <v>33.21478271484375</v>
      </c>
      <c r="X30">
        <v>-4.8074565696172543E-3</v>
      </c>
      <c r="AR30" t="str">
        <v>CMCSA</v>
      </c>
      <c r="AS30">
        <v>6.6145315133968756</v>
      </c>
      <c r="AT30">
        <v>33.375232696533203</v>
      </c>
      <c r="AU30">
        <v>33.21478271484375</v>
      </c>
    </row>
    <row r="31" spans="2:47" x14ac:dyDescent="0.2">
      <c r="B31" t="str">
        <v>C</v>
      </c>
      <c r="C31">
        <v>13.35553546791806</v>
      </c>
      <c r="D31">
        <v>100.8983993530273</v>
      </c>
      <c r="E31">
        <v>117.2099990844727</v>
      </c>
      <c r="F31">
        <v>0.16166361246597905</v>
      </c>
      <c r="H31" t="str">
        <v>STZ</v>
      </c>
      <c r="I31">
        <v>13.83420352278085</v>
      </c>
      <c r="J31">
        <v>160.47676086425781</v>
      </c>
      <c r="K31">
        <v>133.62126159667969</v>
      </c>
      <c r="L31">
        <v>-0.16734821367870414</v>
      </c>
      <c r="N31" t="str">
        <v>EMN</v>
      </c>
      <c r="O31">
        <v>13.448658472375021</v>
      </c>
      <c r="P31">
        <v>84.995521545410156</v>
      </c>
      <c r="Q31">
        <v>72.786155700683594</v>
      </c>
      <c r="R31">
        <v>-0.14364716661222582</v>
      </c>
      <c r="T31" t="str">
        <v>CAG</v>
      </c>
      <c r="U31">
        <v>10.735054016113279</v>
      </c>
      <c r="V31">
        <v>25.764129638671879</v>
      </c>
      <c r="W31">
        <v>25.293622970581051</v>
      </c>
      <c r="X31">
        <v>-1.8262082775138595E-2</v>
      </c>
      <c r="AR31" t="str">
        <v>CAG</v>
      </c>
      <c r="AS31">
        <v>10.735054016113279</v>
      </c>
      <c r="AT31">
        <v>25.764129638671879</v>
      </c>
      <c r="AU31">
        <v>25.293622970581051</v>
      </c>
    </row>
    <row r="32" spans="2:47" x14ac:dyDescent="0.2">
      <c r="B32" t="str">
        <v>CFG</v>
      </c>
      <c r="C32">
        <v>12.425377683819461</v>
      </c>
      <c r="D32">
        <v>52.683601379394531</v>
      </c>
      <c r="E32">
        <v>58.950000762939453</v>
      </c>
      <c r="F32">
        <v>0.1189440208997523</v>
      </c>
      <c r="H32" t="str">
        <v>CTVA</v>
      </c>
      <c r="I32">
        <v>9.6550554037094116</v>
      </c>
      <c r="J32">
        <v>74.150825500488281</v>
      </c>
      <c r="K32">
        <v>67.449569702148438</v>
      </c>
      <c r="L32">
        <v>-9.037331348786827E-2</v>
      </c>
      <c r="N32" t="str">
        <v>EIX</v>
      </c>
      <c r="O32">
        <v>3.7155110458905831</v>
      </c>
      <c r="P32">
        <v>55.4354248046875</v>
      </c>
      <c r="Q32">
        <v>49.293819427490227</v>
      </c>
      <c r="R32">
        <v>-0.11078846060683478</v>
      </c>
      <c r="T32" t="str">
        <v>COP</v>
      </c>
      <c r="U32">
        <v>12.347846784089739</v>
      </c>
      <c r="V32">
        <v>93.843635559082031</v>
      </c>
      <c r="W32">
        <v>102.33221435546881</v>
      </c>
      <c r="X32">
        <v>9.0454496416462263E-2</v>
      </c>
      <c r="AR32" t="str">
        <v>COP</v>
      </c>
      <c r="AS32">
        <v>12.347846784089739</v>
      </c>
      <c r="AT32">
        <v>93.843635559082031</v>
      </c>
      <c r="AU32">
        <v>102.33221435546881</v>
      </c>
    </row>
    <row r="33" spans="2:47" x14ac:dyDescent="0.2">
      <c r="B33" t="str">
        <v>CMCSA</v>
      </c>
      <c r="C33">
        <v>7.8969508083512858</v>
      </c>
      <c r="D33">
        <v>28.80014801025391</v>
      </c>
      <c r="E33">
        <v>27.762638092041019</v>
      </c>
      <c r="F33">
        <v>-3.6024464799399608E-2</v>
      </c>
      <c r="H33" t="str">
        <v>CTRA</v>
      </c>
      <c r="I33">
        <v>9.3051184469194546</v>
      </c>
      <c r="J33">
        <v>24.937717437744141</v>
      </c>
      <c r="K33">
        <v>23.45088005065918</v>
      </c>
      <c r="L33">
        <v>-5.9622032000193351E-2</v>
      </c>
      <c r="N33" t="str">
        <v>ELV</v>
      </c>
      <c r="O33">
        <v>11.072559770614079</v>
      </c>
      <c r="P33">
        <v>428.49234008789062</v>
      </c>
      <c r="Q33">
        <v>384.865478515625</v>
      </c>
      <c r="R33">
        <v>-0.10181479921745405</v>
      </c>
      <c r="T33" t="str">
        <v>CVS</v>
      </c>
      <c r="U33">
        <v>7.9759859856758402</v>
      </c>
      <c r="V33">
        <v>41.794166564941413</v>
      </c>
      <c r="W33">
        <v>65.260368347167969</v>
      </c>
      <c r="X33">
        <v>0.56147074366858951</v>
      </c>
      <c r="AR33" t="str">
        <v>CVS</v>
      </c>
      <c r="AS33">
        <v>7.9759859856758402</v>
      </c>
      <c r="AT33">
        <v>41.794166564941413</v>
      </c>
      <c r="AU33">
        <v>65.260368347167969</v>
      </c>
    </row>
    <row r="34" spans="2:47" x14ac:dyDescent="0.2">
      <c r="B34" t="str">
        <v>CAG</v>
      </c>
      <c r="C34">
        <v>13.192110903122851</v>
      </c>
      <c r="D34">
        <v>17.94127082824707</v>
      </c>
      <c r="E34">
        <v>17.430000305175781</v>
      </c>
      <c r="F34">
        <v>-2.8496895675100966E-2</v>
      </c>
      <c r="H34" t="str">
        <v>CMI</v>
      </c>
      <c r="I34">
        <v>12.55563198597439</v>
      </c>
      <c r="J34">
        <v>324.43753051757812</v>
      </c>
      <c r="K34">
        <v>420.5540771484375</v>
      </c>
      <c r="L34">
        <v>0.29625594325515847</v>
      </c>
      <c r="N34" t="str">
        <v>EOG</v>
      </c>
      <c r="O34">
        <v>11.62183589505074</v>
      </c>
      <c r="P34">
        <v>123.6563339233398</v>
      </c>
      <c r="Q34">
        <v>116.3906173706055</v>
      </c>
      <c r="R34">
        <v>-5.8757334316887101E-2</v>
      </c>
      <c r="T34" t="str">
        <v>DVA</v>
      </c>
      <c r="U34">
        <v>11.77594286840667</v>
      </c>
      <c r="V34">
        <v>149.78999328613281</v>
      </c>
      <c r="W34">
        <v>152.9700012207031</v>
      </c>
      <c r="X34">
        <v>2.1229775533107533E-2</v>
      </c>
      <c r="AR34" t="str">
        <v>DVA</v>
      </c>
      <c r="AS34">
        <v>11.77594286840667</v>
      </c>
      <c r="AT34">
        <v>149.78999328613281</v>
      </c>
      <c r="AU34">
        <v>152.9700012207031</v>
      </c>
    </row>
    <row r="35" spans="2:47" x14ac:dyDescent="0.2">
      <c r="B35" t="str">
        <v>ED</v>
      </c>
      <c r="C35">
        <v>13.048394687512779</v>
      </c>
      <c r="D35">
        <v>99.689735412597656</v>
      </c>
      <c r="E35">
        <v>99.889999389648438</v>
      </c>
      <c r="F35">
        <v>2.008872590762982E-3</v>
      </c>
      <c r="H35" t="str">
        <v>DVA</v>
      </c>
      <c r="I35">
        <v>13.59255696071013</v>
      </c>
      <c r="J35">
        <v>142.44999694824219</v>
      </c>
      <c r="K35">
        <v>132.8699951171875</v>
      </c>
      <c r="L35">
        <v>-6.7251681546441081E-2</v>
      </c>
      <c r="N35" t="str">
        <v>ES</v>
      </c>
      <c r="O35">
        <v>9.9975681304931641</v>
      </c>
      <c r="P35">
        <v>59.985408782958977</v>
      </c>
      <c r="Q35">
        <v>62.207275390625</v>
      </c>
      <c r="R35">
        <v>3.704011780106805E-2</v>
      </c>
      <c r="T35" t="str">
        <v>DELL</v>
      </c>
      <c r="U35">
        <v>12.746229608074451</v>
      </c>
      <c r="V35">
        <v>112.27761077880859</v>
      </c>
      <c r="W35">
        <v>89.488723754882812</v>
      </c>
      <c r="X35">
        <v>-0.20296911259379044</v>
      </c>
      <c r="AR35" t="str">
        <v>DELL</v>
      </c>
      <c r="AS35">
        <v>12.746229608074451</v>
      </c>
      <c r="AT35">
        <v>112.27761077880859</v>
      </c>
      <c r="AU35">
        <v>89.488723754882812</v>
      </c>
    </row>
    <row r="36" spans="2:47" x14ac:dyDescent="0.2">
      <c r="B36" t="str">
        <v>STZ</v>
      </c>
      <c r="C36">
        <v>12.60577939591318</v>
      </c>
      <c r="D36">
        <v>133.62126159667969</v>
      </c>
      <c r="E36">
        <v>140.1300048828125</v>
      </c>
      <c r="F36">
        <v>4.8710386418732529E-2</v>
      </c>
      <c r="H36" t="str">
        <v>DAL</v>
      </c>
      <c r="I36">
        <v>3.7239464317880029</v>
      </c>
      <c r="J36">
        <v>48.858177185058587</v>
      </c>
      <c r="K36">
        <v>56.577083587646477</v>
      </c>
      <c r="L36">
        <v>0.15798596769894283</v>
      </c>
      <c r="N36" t="str">
        <v>EXC</v>
      </c>
      <c r="O36">
        <v>12.47392450755202</v>
      </c>
      <c r="P36">
        <v>44.877338409423828</v>
      </c>
      <c r="Q36">
        <v>42.664234161376953</v>
      </c>
      <c r="R36">
        <v>-4.9314516557473549E-2</v>
      </c>
      <c r="T36" t="str">
        <v>DAL</v>
      </c>
      <c r="U36">
        <v>11.45028849594466</v>
      </c>
      <c r="V36">
        <v>59.99951171875</v>
      </c>
      <c r="W36">
        <v>43.187641143798828</v>
      </c>
      <c r="X36">
        <v>-0.28020012319029292</v>
      </c>
      <c r="AR36" t="str">
        <v>DAL</v>
      </c>
      <c r="AS36">
        <v>11.45028849594466</v>
      </c>
      <c r="AT36">
        <v>59.99951171875</v>
      </c>
      <c r="AU36">
        <v>43.187641143798828</v>
      </c>
    </row>
    <row r="37" spans="2:47" x14ac:dyDescent="0.2">
      <c r="B37" t="str">
        <v>CTRA</v>
      </c>
      <c r="C37">
        <v>13.95885717301142</v>
      </c>
      <c r="D37">
        <v>23.45088005065918</v>
      </c>
      <c r="E37">
        <v>26.559999465942379</v>
      </c>
      <c r="F37">
        <v>0.13258007411947023</v>
      </c>
      <c r="H37" t="str">
        <v>DVN</v>
      </c>
      <c r="I37">
        <v>5.5261198903473332</v>
      </c>
      <c r="J37">
        <v>31.388360977172852</v>
      </c>
      <c r="K37">
        <v>34.835735321044922</v>
      </c>
      <c r="L37">
        <v>0.10982970236576448</v>
      </c>
      <c r="N37" t="str">
        <v>FITB</v>
      </c>
      <c r="O37">
        <v>13.445146318892361</v>
      </c>
      <c r="P37">
        <v>38.184215545654297</v>
      </c>
      <c r="Q37">
        <v>40.424530029296882</v>
      </c>
      <c r="R37">
        <v>5.8671219288608717E-2</v>
      </c>
      <c r="T37" t="str">
        <v>DVN</v>
      </c>
      <c r="U37">
        <v>7.9344910018298096</v>
      </c>
      <c r="V37">
        <v>31.103204727172852</v>
      </c>
      <c r="W37">
        <v>36.646270751953118</v>
      </c>
      <c r="X37">
        <v>0.17821526988624581</v>
      </c>
      <c r="AR37" t="str">
        <v>DVN</v>
      </c>
      <c r="AS37">
        <v>7.9344910018298096</v>
      </c>
      <c r="AT37">
        <v>31.103204727172852</v>
      </c>
      <c r="AU37">
        <v>36.646270751953118</v>
      </c>
    </row>
    <row r="38" spans="2:47" x14ac:dyDescent="0.2">
      <c r="B38" t="str">
        <v>DECK</v>
      </c>
      <c r="C38">
        <v>13.9244509267283</v>
      </c>
      <c r="D38">
        <v>101.370002746582</v>
      </c>
      <c r="E38">
        <v>105.0299987792969</v>
      </c>
      <c r="F38">
        <v>3.6105316499444491E-2</v>
      </c>
      <c r="H38" t="str">
        <v>FANG</v>
      </c>
      <c r="I38">
        <v>14.231632136497179</v>
      </c>
      <c r="J38">
        <v>135.4851379394531</v>
      </c>
      <c r="K38">
        <v>142.1210021972656</v>
      </c>
      <c r="L38">
        <v>4.8978540072624047E-2</v>
      </c>
      <c r="N38" t="str">
        <v>GIS</v>
      </c>
      <c r="O38">
        <v>12.4869329887524</v>
      </c>
      <c r="P38">
        <v>56.940414428710938</v>
      </c>
      <c r="Q38">
        <v>49.85595703125</v>
      </c>
      <c r="R38">
        <v>-0.12441878880826616</v>
      </c>
      <c r="T38" t="str">
        <v>FANG</v>
      </c>
      <c r="U38">
        <v>10.66319520207127</v>
      </c>
      <c r="V38">
        <v>156.53570556640619</v>
      </c>
      <c r="W38">
        <v>156.5632629394531</v>
      </c>
      <c r="X38">
        <v>1.7604528594412553E-4</v>
      </c>
      <c r="AR38" t="str">
        <v>FANG</v>
      </c>
      <c r="AS38">
        <v>10.66319520207127</v>
      </c>
      <c r="AT38">
        <v>156.53570556640619</v>
      </c>
      <c r="AU38">
        <v>156.5632629394531</v>
      </c>
    </row>
    <row r="39" spans="2:47" x14ac:dyDescent="0.2">
      <c r="B39" t="str">
        <v>DAL</v>
      </c>
      <c r="C39">
        <v>6.4881976591337711</v>
      </c>
      <c r="D39">
        <v>56.577083587646477</v>
      </c>
      <c r="E39">
        <v>69.339996337890625</v>
      </c>
      <c r="F39">
        <v>0.2255844935957588</v>
      </c>
      <c r="H39" t="str">
        <v>DLR</v>
      </c>
      <c r="I39">
        <v>14.16910253342229</v>
      </c>
      <c r="J39">
        <v>171.7295227050781</v>
      </c>
      <c r="K39">
        <v>171.50712585449219</v>
      </c>
      <c r="L39">
        <v>-1.2950414528772969E-3</v>
      </c>
      <c r="N39" t="str">
        <v>GM</v>
      </c>
      <c r="O39">
        <v>3.431368154637954</v>
      </c>
      <c r="P39">
        <v>46.666606903076172</v>
      </c>
      <c r="Q39">
        <v>48.985271453857422</v>
      </c>
      <c r="R39">
        <v>4.9685732575264825E-2</v>
      </c>
      <c r="T39" t="str">
        <v>DOV</v>
      </c>
      <c r="U39">
        <v>4.399532984867478</v>
      </c>
      <c r="V39">
        <v>184.25244140625</v>
      </c>
      <c r="W39">
        <v>174.18699645996091</v>
      </c>
      <c r="X39">
        <v>-5.4628556720701681E-2</v>
      </c>
      <c r="AR39" t="str">
        <v>DOV</v>
      </c>
      <c r="AS39">
        <v>4.399532984867478</v>
      </c>
      <c r="AT39">
        <v>184.25244140625</v>
      </c>
      <c r="AU39">
        <v>174.18699645996091</v>
      </c>
    </row>
    <row r="40" spans="2:47" x14ac:dyDescent="0.2">
      <c r="B40" t="str">
        <v>DVN</v>
      </c>
      <c r="C40">
        <v>7.9898475506983759</v>
      </c>
      <c r="D40">
        <v>34.835735321044922</v>
      </c>
      <c r="E40">
        <v>36.819999694824219</v>
      </c>
      <c r="F40">
        <v>5.6960599668483686E-2</v>
      </c>
      <c r="H40" t="str">
        <v>DHI</v>
      </c>
      <c r="I40">
        <v>9.5095716527378524</v>
      </c>
      <c r="J40">
        <v>128.18902587890619</v>
      </c>
      <c r="K40">
        <v>168.94776916503909</v>
      </c>
      <c r="L40">
        <v>0.31795813258332783</v>
      </c>
      <c r="N40" t="str">
        <v>GL</v>
      </c>
      <c r="O40">
        <v>10.70888706895172</v>
      </c>
      <c r="P40">
        <v>130.64842224121091</v>
      </c>
      <c r="Q40">
        <v>123.5294723510742</v>
      </c>
      <c r="R40">
        <v>-5.4489367479641469E-2</v>
      </c>
      <c r="T40" t="str">
        <v>DHI</v>
      </c>
      <c r="U40">
        <v>13.11029064338017</v>
      </c>
      <c r="V40">
        <v>137.9202575683594</v>
      </c>
      <c r="W40">
        <v>126.0064392089844</v>
      </c>
      <c r="X40">
        <v>-8.6381932352975657E-2</v>
      </c>
      <c r="AR40" t="str">
        <v>DHI</v>
      </c>
      <c r="AS40">
        <v>13.11029064338017</v>
      </c>
      <c r="AT40">
        <v>137.9202575683594</v>
      </c>
      <c r="AU40">
        <v>126.0064392089844</v>
      </c>
    </row>
    <row r="41" spans="2:47" x14ac:dyDescent="0.2">
      <c r="B41" t="str">
        <v>FANG</v>
      </c>
      <c r="C41">
        <v>10.122578504078749</v>
      </c>
      <c r="D41">
        <v>142.1210021972656</v>
      </c>
      <c r="E41">
        <v>151.25</v>
      </c>
      <c r="F41">
        <v>6.4233981336996551E-2</v>
      </c>
      <c r="H41" t="str">
        <v>EMN</v>
      </c>
      <c r="I41">
        <v>14.915195840304021</v>
      </c>
      <c r="J41">
        <v>72.786155700683594</v>
      </c>
      <c r="K41">
        <v>62.236698150634773</v>
      </c>
      <c r="L41">
        <v>-0.14493769383055552</v>
      </c>
      <c r="N41" t="str">
        <v>GS</v>
      </c>
      <c r="O41">
        <v>9.4389273660224777</v>
      </c>
      <c r="P41">
        <v>538.01885986328125</v>
      </c>
      <c r="Q41">
        <v>700.5086669921875</v>
      </c>
      <c r="R41">
        <v>0.30201507651645776</v>
      </c>
      <c r="T41" t="str">
        <v>EMN</v>
      </c>
      <c r="U41">
        <v>7.6137750190601006</v>
      </c>
      <c r="V41">
        <v>86.797035217285156</v>
      </c>
      <c r="W41">
        <v>84.995521545410156</v>
      </c>
      <c r="X41">
        <v>-2.0755474739029316E-2</v>
      </c>
      <c r="AR41" t="str">
        <v>EMN</v>
      </c>
      <c r="AS41">
        <v>7.6137750190601006</v>
      </c>
      <c r="AT41">
        <v>86.797035217285156</v>
      </c>
      <c r="AU41">
        <v>84.995521545410156</v>
      </c>
    </row>
    <row r="42" spans="2:47" x14ac:dyDescent="0.2">
      <c r="B42" t="str">
        <v>D</v>
      </c>
      <c r="C42">
        <v>12.836984501430701</v>
      </c>
      <c r="D42">
        <v>60.487152099609382</v>
      </c>
      <c r="E42">
        <v>59.060001373291023</v>
      </c>
      <c r="F42">
        <v>-2.3594278731591593E-2</v>
      </c>
      <c r="H42" t="str">
        <v>EIX</v>
      </c>
      <c r="I42">
        <v>13.84657849086804</v>
      </c>
      <c r="J42">
        <v>49.293819427490227</v>
      </c>
      <c r="K42">
        <v>53.654754638671882</v>
      </c>
      <c r="L42">
        <v>8.8468194630291597E-2</v>
      </c>
      <c r="N42" t="str">
        <v>HIG</v>
      </c>
      <c r="O42">
        <v>14.01521437758699</v>
      </c>
      <c r="P42">
        <v>122.21266937255859</v>
      </c>
      <c r="Q42">
        <v>125.81805419921881</v>
      </c>
      <c r="R42">
        <v>2.9500908908792395E-2</v>
      </c>
      <c r="T42" t="str">
        <v>EBAY</v>
      </c>
      <c r="U42">
        <v>10.686300184343249</v>
      </c>
      <c r="V42">
        <v>61.125637054443359</v>
      </c>
      <c r="W42">
        <v>67.012748718261719</v>
      </c>
      <c r="X42">
        <v>9.6311661481332772E-2</v>
      </c>
      <c r="AR42" t="str">
        <v>EBAY</v>
      </c>
      <c r="AS42">
        <v>10.686300184343249</v>
      </c>
      <c r="AT42">
        <v>61.125637054443359</v>
      </c>
      <c r="AU42">
        <v>67.012748718261719</v>
      </c>
    </row>
    <row r="43" spans="2:47" x14ac:dyDescent="0.2">
      <c r="B43" t="str">
        <v>DHI</v>
      </c>
      <c r="C43">
        <v>13.80292231740515</v>
      </c>
      <c r="D43">
        <v>168.94776916503909</v>
      </c>
      <c r="E43">
        <v>145.5299987792969</v>
      </c>
      <c r="F43">
        <v>-0.13860952708328569</v>
      </c>
      <c r="H43" t="str">
        <v>ELV</v>
      </c>
      <c r="I43">
        <v>12.41127763959941</v>
      </c>
      <c r="J43">
        <v>384.865478515625</v>
      </c>
      <c r="K43">
        <v>321.46316528320312</v>
      </c>
      <c r="L43">
        <v>-0.16473889390380289</v>
      </c>
      <c r="N43" t="str">
        <v>HCA</v>
      </c>
      <c r="O43">
        <v>12.96840412118005</v>
      </c>
      <c r="P43">
        <v>343.75250244140619</v>
      </c>
      <c r="Q43">
        <v>381.84786987304688</v>
      </c>
      <c r="R43">
        <v>0.1108220803080093</v>
      </c>
      <c r="T43" t="str">
        <v>EOG</v>
      </c>
      <c r="U43">
        <v>12.82765960693359</v>
      </c>
      <c r="V43">
        <v>115.4489364624023</v>
      </c>
      <c r="W43">
        <v>123.6563339233398</v>
      </c>
      <c r="X43">
        <v>7.1091148281044264E-2</v>
      </c>
      <c r="AR43" t="str">
        <v>EOG</v>
      </c>
      <c r="AS43">
        <v>12.82765960693359</v>
      </c>
      <c r="AT43">
        <v>115.4489364624023</v>
      </c>
      <c r="AU43">
        <v>123.6563339233398</v>
      </c>
    </row>
    <row r="44" spans="2:47" x14ac:dyDescent="0.2">
      <c r="B44" t="str">
        <v>EIX</v>
      </c>
      <c r="C44">
        <v>6.2100410461425781</v>
      </c>
      <c r="D44">
        <v>53.654754638671882</v>
      </c>
      <c r="E44">
        <v>59.474323272705078</v>
      </c>
      <c r="F44">
        <v>0.10846324194796929</v>
      </c>
      <c r="H44" t="str">
        <v>ETR</v>
      </c>
      <c r="I44">
        <v>4.9057358189633016</v>
      </c>
      <c r="J44">
        <v>82.023902893066406</v>
      </c>
      <c r="K44">
        <v>92.572212219238281</v>
      </c>
      <c r="L44">
        <v>0.12860043175369967</v>
      </c>
      <c r="N44" t="str">
        <v>HST</v>
      </c>
      <c r="O44">
        <v>9.7166381563459137</v>
      </c>
      <c r="P44">
        <v>13.603293418884279</v>
      </c>
      <c r="Q44">
        <v>14.89319324493408</v>
      </c>
      <c r="R44">
        <v>9.4822612901898043E-2</v>
      </c>
      <c r="T44" t="str">
        <v>EXC</v>
      </c>
      <c r="U44">
        <v>14.10093944984604</v>
      </c>
      <c r="V44">
        <v>36.310031890869141</v>
      </c>
      <c r="W44">
        <v>44.877338409423828</v>
      </c>
      <c r="X44">
        <v>0.23594874673489621</v>
      </c>
      <c r="AR44" t="str">
        <v>EXC</v>
      </c>
      <c r="AS44">
        <v>14.10093944984604</v>
      </c>
      <c r="AT44">
        <v>36.310031890869141</v>
      </c>
      <c r="AU44">
        <v>44.877338409423828</v>
      </c>
    </row>
    <row r="45" spans="2:47" x14ac:dyDescent="0.2">
      <c r="B45" t="str">
        <v>ETR</v>
      </c>
      <c r="C45">
        <v>14.93100197084488</v>
      </c>
      <c r="D45">
        <v>92.572212219238281</v>
      </c>
      <c r="E45">
        <v>93.370002746582031</v>
      </c>
      <c r="F45">
        <v>8.6180345939486352E-3</v>
      </c>
      <c r="H45" t="str">
        <v>EOG</v>
      </c>
      <c r="I45">
        <v>11.73292513816587</v>
      </c>
      <c r="J45">
        <v>116.3906173706055</v>
      </c>
      <c r="K45">
        <v>110.0050354003906</v>
      </c>
      <c r="L45">
        <v>-5.4863373994161684E-2</v>
      </c>
      <c r="N45" t="str">
        <v>HUM</v>
      </c>
      <c r="O45">
        <v>6.3484502694308462</v>
      </c>
      <c r="P45">
        <v>261.81008911132812</v>
      </c>
      <c r="Q45">
        <v>242.79792785644531</v>
      </c>
      <c r="R45">
        <v>-7.2618138282663239E-2</v>
      </c>
      <c r="T45" t="str">
        <v>XOM</v>
      </c>
      <c r="U45">
        <v>14.82789017433344</v>
      </c>
      <c r="V45">
        <v>102.01588439941411</v>
      </c>
      <c r="W45">
        <v>115.7457656860352</v>
      </c>
      <c r="X45">
        <v>0.13458572032631369</v>
      </c>
      <c r="AR45" t="str">
        <v>XOM</v>
      </c>
      <c r="AS45">
        <v>14.82789017433344</v>
      </c>
      <c r="AT45">
        <v>102.01588439941411</v>
      </c>
      <c r="AU45">
        <v>115.7457656860352</v>
      </c>
    </row>
    <row r="46" spans="2:47" x14ac:dyDescent="0.2">
      <c r="B46" t="str">
        <v>EOG</v>
      </c>
      <c r="C46">
        <v>10.11075693018296</v>
      </c>
      <c r="D46">
        <v>110.0050354003906</v>
      </c>
      <c r="E46">
        <v>104.66229248046881</v>
      </c>
      <c r="F46">
        <v>-4.8568166906865239E-2</v>
      </c>
      <c r="H46" t="str">
        <v>EQT</v>
      </c>
      <c r="I46">
        <v>11.06296932424298</v>
      </c>
      <c r="J46">
        <v>57.969959259033203</v>
      </c>
      <c r="K46">
        <v>54.269195556640618</v>
      </c>
      <c r="L46">
        <v>-6.383933591976626E-2</v>
      </c>
      <c r="N46" t="str">
        <v>HBAN</v>
      </c>
      <c r="O46">
        <v>10.736047520357021</v>
      </c>
      <c r="P46">
        <v>14.60102462768555</v>
      </c>
      <c r="Q46">
        <v>16.46590423583984</v>
      </c>
      <c r="R46">
        <v>0.12772251644711438</v>
      </c>
      <c r="T46" t="str">
        <v>FITB</v>
      </c>
      <c r="U46">
        <v>11.87770533007245</v>
      </c>
      <c r="V46">
        <v>40.859306335449219</v>
      </c>
      <c r="W46">
        <v>38.184215545654297</v>
      </c>
      <c r="X46">
        <v>-6.5470783273528899E-2</v>
      </c>
      <c r="AR46" t="str">
        <v>FITB</v>
      </c>
      <c r="AS46">
        <v>11.87770533007245</v>
      </c>
      <c r="AT46">
        <v>40.859306335449219</v>
      </c>
      <c r="AU46">
        <v>38.184215545654297</v>
      </c>
    </row>
    <row r="47" spans="2:47" x14ac:dyDescent="0.2">
      <c r="B47" t="str">
        <v>EG</v>
      </c>
      <c r="C47">
        <v>14.37725825067028</v>
      </c>
      <c r="D47">
        <v>350.23001098632812</v>
      </c>
      <c r="E47">
        <v>341.260009765625</v>
      </c>
      <c r="F47">
        <v>-2.5611743538029599E-2</v>
      </c>
      <c r="H47" t="str">
        <v>EG</v>
      </c>
      <c r="I47">
        <v>5.2771740078185649</v>
      </c>
      <c r="J47">
        <v>339.85000610351562</v>
      </c>
      <c r="K47">
        <v>350.23001098632812</v>
      </c>
      <c r="L47">
        <v>3.0542900386621833E-2</v>
      </c>
      <c r="N47" t="str">
        <v>HII</v>
      </c>
      <c r="O47">
        <v>13.253813368663939</v>
      </c>
      <c r="P47">
        <v>200.92781066894531</v>
      </c>
      <c r="Q47">
        <v>239.22087097167969</v>
      </c>
      <c r="R47">
        <v>0.19058118522889383</v>
      </c>
      <c r="T47" t="str">
        <v>FSLR</v>
      </c>
      <c r="U47">
        <v>12.1301094907506</v>
      </c>
      <c r="V47">
        <v>178.07000732421881</v>
      </c>
      <c r="W47">
        <v>126.4300003051758</v>
      </c>
      <c r="X47">
        <v>-0.28999834275864378</v>
      </c>
      <c r="AR47" t="str">
        <v>FSLR</v>
      </c>
      <c r="AS47">
        <v>12.1301094907506</v>
      </c>
      <c r="AT47">
        <v>178.07000732421881</v>
      </c>
      <c r="AU47">
        <v>126.4300003051758</v>
      </c>
    </row>
    <row r="48" spans="2:47" x14ac:dyDescent="0.2">
      <c r="B48" t="str">
        <v>EVRG</v>
      </c>
      <c r="C48">
        <v>9.1410488758272344</v>
      </c>
      <c r="D48">
        <v>75.322242736816406</v>
      </c>
      <c r="E48">
        <v>73.199996948242188</v>
      </c>
      <c r="F48">
        <v>-2.8175552286587666E-2</v>
      </c>
      <c r="H48" t="str">
        <v>EXE</v>
      </c>
      <c r="I48">
        <v>7.0399043015238689</v>
      </c>
      <c r="J48">
        <v>114.60964202880859</v>
      </c>
      <c r="K48">
        <v>105.728630065918</v>
      </c>
      <c r="L48">
        <v>-7.7489221724104509E-2</v>
      </c>
      <c r="N48" t="str">
        <v>IVZ</v>
      </c>
      <c r="O48">
        <v>9.6648724455582471</v>
      </c>
      <c r="P48">
        <v>14.69060611724854</v>
      </c>
      <c r="Q48">
        <v>15.47935676574707</v>
      </c>
      <c r="R48">
        <v>5.3690817261272943E-2</v>
      </c>
      <c r="T48" t="str">
        <v>F</v>
      </c>
      <c r="U48">
        <v>6.2151451368589656</v>
      </c>
      <c r="V48">
        <v>9.1984148025512695</v>
      </c>
      <c r="W48">
        <v>9.6432323455810547</v>
      </c>
      <c r="X48">
        <v>4.8358065229501361E-2</v>
      </c>
      <c r="AR48" t="str">
        <v>F</v>
      </c>
      <c r="AS48">
        <v>6.2151451368589656</v>
      </c>
      <c r="AT48">
        <v>9.1984148025512695</v>
      </c>
      <c r="AU48">
        <v>9.6432323455810547</v>
      </c>
    </row>
    <row r="49" spans="2:47" x14ac:dyDescent="0.2">
      <c r="B49" t="str">
        <v>EXC</v>
      </c>
      <c r="C49">
        <v>12.854366130306939</v>
      </c>
      <c r="D49">
        <v>44.620384216308587</v>
      </c>
      <c r="E49">
        <v>43.919998168945312</v>
      </c>
      <c r="F49">
        <v>-1.5696549002536055E-2</v>
      </c>
      <c r="H49" t="str">
        <v>FRT</v>
      </c>
      <c r="I49">
        <v>12.893534242437131</v>
      </c>
      <c r="J49">
        <v>91.801963806152344</v>
      </c>
      <c r="K49">
        <v>99.056953430175781</v>
      </c>
      <c r="L49">
        <v>7.902869746166831E-2</v>
      </c>
      <c r="N49" t="str">
        <v>JNJ</v>
      </c>
      <c r="O49">
        <v>8.8689431009565673</v>
      </c>
      <c r="P49">
        <v>162.2023620605469</v>
      </c>
      <c r="Q49">
        <v>150.68028259277341</v>
      </c>
      <c r="R49">
        <v>-7.1035213799614902E-2</v>
      </c>
      <c r="T49" t="str">
        <v>FOXA</v>
      </c>
      <c r="U49">
        <v>14.932876163058809</v>
      </c>
      <c r="V49">
        <v>48.382518768310547</v>
      </c>
      <c r="W49">
        <v>56.340408325195312</v>
      </c>
      <c r="X49">
        <v>0.16447861251276985</v>
      </c>
      <c r="AR49" t="str">
        <v>FOXA</v>
      </c>
      <c r="AS49">
        <v>14.932876163058809</v>
      </c>
      <c r="AT49">
        <v>48.382518768310547</v>
      </c>
      <c r="AU49">
        <v>56.340408325195312</v>
      </c>
    </row>
    <row r="50" spans="2:47" x14ac:dyDescent="0.2">
      <c r="B50" t="str">
        <v>EXE</v>
      </c>
      <c r="C50">
        <v>11.492242398469349</v>
      </c>
      <c r="D50">
        <v>105.728630065918</v>
      </c>
      <c r="E50">
        <v>112.01999664306641</v>
      </c>
      <c r="F50">
        <v>5.9504852878789483E-2</v>
      </c>
      <c r="H50" t="str">
        <v>FDX</v>
      </c>
      <c r="I50">
        <v>8.1130418879149833</v>
      </c>
      <c r="J50">
        <v>224.7108154296875</v>
      </c>
      <c r="K50">
        <v>234.60748291015619</v>
      </c>
      <c r="L50">
        <v>4.4041794167959759E-2</v>
      </c>
      <c r="N50" t="str">
        <v>JPM</v>
      </c>
      <c r="O50">
        <v>11.829295120839999</v>
      </c>
      <c r="P50">
        <v>240.37127685546881</v>
      </c>
      <c r="Q50">
        <v>285.83474731445312</v>
      </c>
      <c r="R50">
        <v>0.18913853208143808</v>
      </c>
      <c r="T50" t="str">
        <v>FOX</v>
      </c>
      <c r="U50">
        <v>14.078004860583651</v>
      </c>
      <c r="V50">
        <v>45.612735748291023</v>
      </c>
      <c r="W50">
        <v>52.444648742675781</v>
      </c>
      <c r="X50">
        <v>0.14978082069196497</v>
      </c>
      <c r="AR50" t="str">
        <v>FOX</v>
      </c>
      <c r="AS50">
        <v>14.078004860583651</v>
      </c>
      <c r="AT50">
        <v>45.612735748291023</v>
      </c>
      <c r="AU50">
        <v>52.444648742675781</v>
      </c>
    </row>
    <row r="51" spans="2:47" x14ac:dyDescent="0.2">
      <c r="B51" t="str">
        <v>EXPE</v>
      </c>
      <c r="C51">
        <v>6.8747987452241563</v>
      </c>
      <c r="D51">
        <v>213.39375305175781</v>
      </c>
      <c r="E51">
        <v>285</v>
      </c>
      <c r="F51">
        <v>0.33555924634248491</v>
      </c>
      <c r="H51" t="str">
        <v>FITB</v>
      </c>
      <c r="I51">
        <v>11.4842414855957</v>
      </c>
      <c r="J51">
        <v>40.424530029296882</v>
      </c>
      <c r="K51">
        <v>44.175075531005859</v>
      </c>
      <c r="L51">
        <v>9.2778951270202609E-2</v>
      </c>
      <c r="N51" t="str">
        <v>KEY</v>
      </c>
      <c r="O51">
        <v>11.354080368490781</v>
      </c>
      <c r="P51">
        <v>15.441549301147459</v>
      </c>
      <c r="Q51">
        <v>17.045783996582031</v>
      </c>
      <c r="R51">
        <v>0.10389078609588492</v>
      </c>
      <c r="T51" t="str">
        <v>GEHC</v>
      </c>
      <c r="U51">
        <v>12.40890237349498</v>
      </c>
      <c r="V51">
        <v>78.424263000488281</v>
      </c>
      <c r="W51">
        <v>80.562591552734375</v>
      </c>
      <c r="X51">
        <v>2.7266160629814018E-2</v>
      </c>
      <c r="AR51" t="str">
        <v>GEHC</v>
      </c>
      <c r="AS51">
        <v>12.40890237349498</v>
      </c>
      <c r="AT51">
        <v>78.424263000488281</v>
      </c>
      <c r="AU51">
        <v>80.562591552734375</v>
      </c>
    </row>
    <row r="52" spans="2:47" x14ac:dyDescent="0.2">
      <c r="B52" t="str">
        <v>FITB</v>
      </c>
      <c r="C52">
        <v>12.136009761265351</v>
      </c>
      <c r="D52">
        <v>44.175075531005859</v>
      </c>
      <c r="E52">
        <v>47.129997253417969</v>
      </c>
      <c r="F52">
        <v>6.6891152689441166E-2</v>
      </c>
      <c r="H52" t="str">
        <v>FSLR</v>
      </c>
      <c r="I52">
        <v>12.97335370580978</v>
      </c>
      <c r="J52">
        <v>165.53999328613281</v>
      </c>
      <c r="K52">
        <v>220.5299987792969</v>
      </c>
      <c r="L52">
        <v>0.33218562113938765</v>
      </c>
      <c r="N52" t="str">
        <v>KHC</v>
      </c>
      <c r="O52">
        <v>12.118337949117031</v>
      </c>
      <c r="P52">
        <v>29.084011077880859</v>
      </c>
      <c r="Q52">
        <v>25.048740386962891</v>
      </c>
      <c r="R52">
        <v>-0.13874532918146548</v>
      </c>
      <c r="T52" t="str">
        <v>GIS</v>
      </c>
      <c r="U52">
        <v>10.446834564208981</v>
      </c>
      <c r="V52">
        <v>59.755893707275391</v>
      </c>
      <c r="W52">
        <v>56.940414428710938</v>
      </c>
      <c r="X52">
        <v>-4.7116344579441263E-2</v>
      </c>
      <c r="AR52" t="str">
        <v>GIS</v>
      </c>
      <c r="AS52">
        <v>10.446834564208981</v>
      </c>
      <c r="AT52">
        <v>59.755893707275391</v>
      </c>
      <c r="AU52">
        <v>56.940414428710938</v>
      </c>
    </row>
    <row r="53" spans="2:47" x14ac:dyDescent="0.2">
      <c r="B53" t="str">
        <v>FSLR</v>
      </c>
      <c r="C53">
        <v>12.9723528693704</v>
      </c>
      <c r="D53">
        <v>220.5299987792969</v>
      </c>
      <c r="E53">
        <v>264.29998779296881</v>
      </c>
      <c r="F53">
        <v>0.19847634904980091</v>
      </c>
      <c r="H53" t="str">
        <v>FOXA</v>
      </c>
      <c r="I53">
        <v>8.8826398181307837</v>
      </c>
      <c r="J53">
        <v>55.782978057861328</v>
      </c>
      <c r="K53">
        <v>63.060001373291023</v>
      </c>
      <c r="L53">
        <v>0.13045239907918765</v>
      </c>
      <c r="N53" t="str">
        <v>KR</v>
      </c>
      <c r="O53">
        <v>12.8206414442796</v>
      </c>
      <c r="P53">
        <v>66.667335510253906</v>
      </c>
      <c r="Q53">
        <v>70.988723754882812</v>
      </c>
      <c r="R53">
        <v>6.4820173351074553E-2</v>
      </c>
      <c r="T53" t="str">
        <v>GM</v>
      </c>
      <c r="U53">
        <v>8.2341098046117978</v>
      </c>
      <c r="V53">
        <v>53.110008239746087</v>
      </c>
      <c r="W53">
        <v>46.666606903076172</v>
      </c>
      <c r="X53">
        <v>-0.12132179132007455</v>
      </c>
      <c r="AR53" t="str">
        <v>GM</v>
      </c>
      <c r="AS53">
        <v>8.2341098046117978</v>
      </c>
      <c r="AT53">
        <v>53.110008239746087</v>
      </c>
      <c r="AU53">
        <v>46.666606903076172</v>
      </c>
    </row>
    <row r="54" spans="2:47" x14ac:dyDescent="0.2">
      <c r="B54" t="str">
        <v>FE</v>
      </c>
      <c r="C54">
        <v>14.926146206102869</v>
      </c>
      <c r="D54">
        <v>45.375484466552727</v>
      </c>
      <c r="E54">
        <v>44.959999084472663</v>
      </c>
      <c r="F54">
        <v>-9.1566048707717347E-3</v>
      </c>
      <c r="H54" t="str">
        <v>FOX</v>
      </c>
      <c r="I54">
        <v>8.1799501066754576</v>
      </c>
      <c r="J54">
        <v>51.370086669921882</v>
      </c>
      <c r="K54">
        <v>57.290000915527337</v>
      </c>
      <c r="L54">
        <v>0.11524049557564153</v>
      </c>
      <c r="N54" t="str">
        <v>LW</v>
      </c>
      <c r="O54">
        <v>12.68583223657701</v>
      </c>
      <c r="P54">
        <v>52.265628814697273</v>
      </c>
      <c r="Q54">
        <v>51.207359313964837</v>
      </c>
      <c r="R54">
        <v>-2.0247905262642647E-2</v>
      </c>
      <c r="T54" t="str">
        <v>GPN</v>
      </c>
      <c r="U54">
        <v>12.115420282414529</v>
      </c>
      <c r="V54">
        <v>109.5233993530273</v>
      </c>
      <c r="W54">
        <v>97.02874755859375</v>
      </c>
      <c r="X54">
        <v>-0.11408203058197162</v>
      </c>
      <c r="AR54" t="str">
        <v>GPN</v>
      </c>
      <c r="AS54">
        <v>12.115420282414529</v>
      </c>
      <c r="AT54">
        <v>109.5233993530273</v>
      </c>
      <c r="AU54">
        <v>97.02874755859375</v>
      </c>
    </row>
    <row r="55" spans="2:47" x14ac:dyDescent="0.2">
      <c r="B55" t="str">
        <v>F</v>
      </c>
      <c r="C55">
        <v>4.8455992683035429</v>
      </c>
      <c r="D55">
        <v>11.823262214660639</v>
      </c>
      <c r="E55">
        <v>13.22999954223633</v>
      </c>
      <c r="F55">
        <v>0.11898047273546559</v>
      </c>
      <c r="H55" t="str">
        <v>GM</v>
      </c>
      <c r="I55">
        <v>6.312534981167194</v>
      </c>
      <c r="J55">
        <v>48.985271453857422</v>
      </c>
      <c r="K55">
        <v>60.848529815673828</v>
      </c>
      <c r="L55">
        <v>0.2421801086269619</v>
      </c>
      <c r="N55" t="str">
        <v>LDOS</v>
      </c>
      <c r="O55">
        <v>12.005467568674391</v>
      </c>
      <c r="P55">
        <v>133.98101806640619</v>
      </c>
      <c r="Q55">
        <v>157.06001281738281</v>
      </c>
      <c r="R55">
        <v>0.17225570520398475</v>
      </c>
      <c r="T55" t="str">
        <v>GL</v>
      </c>
      <c r="U55">
        <v>8.9490790116159538</v>
      </c>
      <c r="V55">
        <v>108.82080078125</v>
      </c>
      <c r="W55">
        <v>130.64842224121091</v>
      </c>
      <c r="X55">
        <v>0.20058317254840349</v>
      </c>
      <c r="AR55" t="str">
        <v>GL</v>
      </c>
      <c r="AS55">
        <v>8.9490790116159538</v>
      </c>
      <c r="AT55">
        <v>108.82080078125</v>
      </c>
      <c r="AU55">
        <v>130.64842224121091</v>
      </c>
    </row>
    <row r="56" spans="2:47" x14ac:dyDescent="0.2">
      <c r="B56" t="str">
        <v>FOXA</v>
      </c>
      <c r="C56">
        <v>11.943182078274811</v>
      </c>
      <c r="D56">
        <v>63.060001373291023</v>
      </c>
      <c r="E56">
        <v>73.699996948242188</v>
      </c>
      <c r="F56">
        <v>0.16872812152296782</v>
      </c>
      <c r="H56" t="str">
        <v>GL</v>
      </c>
      <c r="I56">
        <v>9.99429387953675</v>
      </c>
      <c r="J56">
        <v>123.5294723510742</v>
      </c>
      <c r="K56">
        <v>142.41484069824219</v>
      </c>
      <c r="L56">
        <v>0.15288147830418347</v>
      </c>
      <c r="N56" t="str">
        <v>LEN</v>
      </c>
      <c r="O56">
        <v>14.4477620416758</v>
      </c>
      <c r="P56">
        <v>113.2704544067383</v>
      </c>
      <c r="Q56">
        <v>109.6633758544922</v>
      </c>
      <c r="R56">
        <v>-3.184483165657287E-2</v>
      </c>
      <c r="T56" t="str">
        <v>GS</v>
      </c>
      <c r="U56">
        <v>11.584480203878551</v>
      </c>
      <c r="V56">
        <v>562.0789794921875</v>
      </c>
      <c r="W56">
        <v>538.01885986328125</v>
      </c>
      <c r="X56">
        <v>-4.2805585169976401E-2</v>
      </c>
      <c r="AR56" t="str">
        <v>GS</v>
      </c>
      <c r="AS56">
        <v>11.584480203878551</v>
      </c>
      <c r="AT56">
        <v>562.0789794921875</v>
      </c>
      <c r="AU56">
        <v>538.01885986328125</v>
      </c>
    </row>
    <row r="57" spans="2:47" x14ac:dyDescent="0.2">
      <c r="B57" t="str">
        <v>FOX</v>
      </c>
      <c r="C57">
        <v>10.850378961274121</v>
      </c>
      <c r="D57">
        <v>57.290000915527337</v>
      </c>
      <c r="E57">
        <v>65.389999389648438</v>
      </c>
      <c r="F57">
        <v>0.14138590233336432</v>
      </c>
      <c r="H57" t="str">
        <v>HAL</v>
      </c>
      <c r="I57">
        <v>9.1361470655961465</v>
      </c>
      <c r="J57">
        <v>20.09952354431152</v>
      </c>
      <c r="K57">
        <v>24.44459342956543</v>
      </c>
      <c r="L57">
        <v>0.21617775544155288</v>
      </c>
      <c r="N57" t="str">
        <v>LMT</v>
      </c>
      <c r="O57">
        <v>14.96993182456657</v>
      </c>
      <c r="P57">
        <v>437.12200927734381</v>
      </c>
      <c r="Q57">
        <v>456.32110595703119</v>
      </c>
      <c r="R57">
        <v>4.3921596881903981E-2</v>
      </c>
      <c r="T57" t="str">
        <v>HAL</v>
      </c>
      <c r="U57">
        <v>9.3507521493094305</v>
      </c>
      <c r="V57">
        <v>26.18210601806641</v>
      </c>
      <c r="W57">
        <v>24.812648773193359</v>
      </c>
      <c r="X57">
        <v>-5.2305083629563084E-2</v>
      </c>
      <c r="AR57" t="str">
        <v>HAL</v>
      </c>
      <c r="AS57">
        <v>9.3507521493094305</v>
      </c>
      <c r="AT57">
        <v>26.18210601806641</v>
      </c>
      <c r="AU57">
        <v>24.812648773193359</v>
      </c>
    </row>
    <row r="58" spans="2:47" x14ac:dyDescent="0.2">
      <c r="B58" t="str">
        <v>GIS</v>
      </c>
      <c r="C58">
        <v>5.5296622955047328</v>
      </c>
      <c r="D58">
        <v>49.103401184082031</v>
      </c>
      <c r="E58">
        <v>46.021804809570312</v>
      </c>
      <c r="F58">
        <v>-6.2757289723358048E-2</v>
      </c>
      <c r="H58" t="str">
        <v>HIG</v>
      </c>
      <c r="I58">
        <v>9.0127545987979047</v>
      </c>
      <c r="J58">
        <v>125.81805419921881</v>
      </c>
      <c r="K58">
        <v>132.8059387207031</v>
      </c>
      <c r="L58">
        <v>5.5539600941688042E-2</v>
      </c>
      <c r="N58" t="str">
        <v>L</v>
      </c>
      <c r="O58">
        <v>13.179759321541621</v>
      </c>
      <c r="P58">
        <v>91.731124877929688</v>
      </c>
      <c r="Q58">
        <v>91.546363830566406</v>
      </c>
      <c r="R58">
        <v>-2.0141587450186647E-3</v>
      </c>
      <c r="T58" t="str">
        <v>HIG</v>
      </c>
      <c r="U58">
        <v>9.1685571768178065</v>
      </c>
      <c r="V58">
        <v>107.4554901123047</v>
      </c>
      <c r="W58">
        <v>122.21266937255859</v>
      </c>
      <c r="X58">
        <v>0.13733294822657044</v>
      </c>
      <c r="AR58" t="str">
        <v>HIG</v>
      </c>
      <c r="AS58">
        <v>9.1685571768178065</v>
      </c>
      <c r="AT58">
        <v>107.4554901123047</v>
      </c>
      <c r="AU58">
        <v>122.21266937255859</v>
      </c>
    </row>
    <row r="59" spans="2:47" x14ac:dyDescent="0.2">
      <c r="B59" t="str">
        <v>GM</v>
      </c>
      <c r="C59">
        <v>11.103746316728801</v>
      </c>
      <c r="D59">
        <v>60.848529815673828</v>
      </c>
      <c r="E59">
        <v>82.330001831054688</v>
      </c>
      <c r="F59">
        <v>0.35303189872382912</v>
      </c>
      <c r="H59" t="str">
        <v>HCA</v>
      </c>
      <c r="I59">
        <v>13.637484318610801</v>
      </c>
      <c r="J59">
        <v>381.84786987304688</v>
      </c>
      <c r="K59">
        <v>425.5670166015625</v>
      </c>
      <c r="L59">
        <v>0.11449362475964825</v>
      </c>
      <c r="N59" t="str">
        <v>MTB</v>
      </c>
      <c r="O59">
        <v>13.11713668319198</v>
      </c>
      <c r="P59">
        <v>174.72026062011719</v>
      </c>
      <c r="Q59">
        <v>191.02870178222659</v>
      </c>
      <c r="R59">
        <v>9.3340297823660975E-2</v>
      </c>
      <c r="T59" t="str">
        <v>HCA</v>
      </c>
      <c r="U59">
        <v>12.872759395168661</v>
      </c>
      <c r="V59">
        <v>296.198486328125</v>
      </c>
      <c r="W59">
        <v>343.75250244140619</v>
      </c>
      <c r="X59">
        <v>0.16054780259950904</v>
      </c>
      <c r="AR59" t="str">
        <v>HCA</v>
      </c>
      <c r="AS59">
        <v>12.872759395168661</v>
      </c>
      <c r="AT59">
        <v>296.198486328125</v>
      </c>
      <c r="AU59">
        <v>343.75250244140619</v>
      </c>
    </row>
    <row r="60" spans="2:47" x14ac:dyDescent="0.2">
      <c r="B60" t="str">
        <v>GILD</v>
      </c>
      <c r="C60">
        <v>11.20647104775033</v>
      </c>
      <c r="D60">
        <v>110.2716751098633</v>
      </c>
      <c r="E60">
        <v>123.1800003051758</v>
      </c>
      <c r="F60">
        <v>0.1170593008807745</v>
      </c>
      <c r="H60" t="str">
        <v>HST</v>
      </c>
      <c r="I60">
        <v>11.63530722260475</v>
      </c>
      <c r="J60">
        <v>14.89319324493408</v>
      </c>
      <c r="K60">
        <v>16.694303512573239</v>
      </c>
      <c r="L60">
        <v>0.120935130432945</v>
      </c>
      <c r="N60" t="str">
        <v>MRK</v>
      </c>
      <c r="O60">
        <v>10.806313962953389</v>
      </c>
      <c r="P60">
        <v>87.255149841308594</v>
      </c>
      <c r="Q60">
        <v>77.721420288085938</v>
      </c>
      <c r="R60">
        <v>-0.10926265751146724</v>
      </c>
      <c r="T60" t="str">
        <v>HSY</v>
      </c>
      <c r="U60">
        <v>10.13119415964737</v>
      </c>
      <c r="V60">
        <v>163.3148498535156</v>
      </c>
      <c r="W60">
        <v>167.02284240722659</v>
      </c>
      <c r="X60">
        <v>2.2704564569828518E-2</v>
      </c>
      <c r="AR60" t="str">
        <v>HSY</v>
      </c>
      <c r="AS60">
        <v>10.13119415964737</v>
      </c>
      <c r="AT60">
        <v>163.3148498535156</v>
      </c>
      <c r="AU60">
        <v>167.02284240722659</v>
      </c>
    </row>
    <row r="61" spans="2:47" x14ac:dyDescent="0.2">
      <c r="B61" t="str">
        <v>GPN</v>
      </c>
      <c r="C61">
        <v>7.8138171501879423</v>
      </c>
      <c r="D61">
        <v>82.826461791992188</v>
      </c>
      <c r="E61">
        <v>79.30999755859375</v>
      </c>
      <c r="F61">
        <v>-4.2455806481623913E-2</v>
      </c>
      <c r="H61" t="str">
        <v>HPQ</v>
      </c>
      <c r="I61">
        <v>7.3862864647382569</v>
      </c>
      <c r="J61">
        <v>23.93156814575195</v>
      </c>
      <c r="K61">
        <v>26.90952110290527</v>
      </c>
      <c r="L61">
        <v>0.12443618149117953</v>
      </c>
      <c r="N61" t="str">
        <v>MGM</v>
      </c>
      <c r="O61">
        <v>14.24999970656175</v>
      </c>
      <c r="P61">
        <v>29.639999389648441</v>
      </c>
      <c r="Q61">
        <v>34.389999389648438</v>
      </c>
      <c r="R61">
        <v>0.1602564135564355</v>
      </c>
      <c r="T61" t="str">
        <v>HPE</v>
      </c>
      <c r="U61">
        <v>11.576836903889969</v>
      </c>
      <c r="V61">
        <v>20.83830642700195</v>
      </c>
      <c r="W61">
        <v>15.146321296691889</v>
      </c>
      <c r="X61">
        <v>-0.27315008300935989</v>
      </c>
      <c r="AR61" t="str">
        <v>HPE</v>
      </c>
      <c r="AS61">
        <v>11.576836903889969</v>
      </c>
      <c r="AT61">
        <v>20.83830642700195</v>
      </c>
      <c r="AU61">
        <v>15.146321296691889</v>
      </c>
    </row>
    <row r="62" spans="2:47" x14ac:dyDescent="0.2">
      <c r="B62" t="str">
        <v>GL</v>
      </c>
      <c r="C62">
        <v>7.402018747309886</v>
      </c>
      <c r="D62">
        <v>142.41484069824219</v>
      </c>
      <c r="E62">
        <v>141.18408203125</v>
      </c>
      <c r="F62">
        <v>-8.6420675047483211E-3</v>
      </c>
      <c r="H62" t="str">
        <v>HUM</v>
      </c>
      <c r="I62">
        <v>13.42908893011313</v>
      </c>
      <c r="J62">
        <v>242.79792785644531</v>
      </c>
      <c r="K62">
        <v>259.28189086914062</v>
      </c>
      <c r="L62">
        <v>6.789169560969846E-2</v>
      </c>
      <c r="N62" t="str">
        <v>MOH</v>
      </c>
      <c r="O62">
        <v>14.922029563023949</v>
      </c>
      <c r="P62">
        <v>329.3900146484375</v>
      </c>
      <c r="Q62">
        <v>297.89999389648438</v>
      </c>
      <c r="R62">
        <v>-9.5601018098750989E-2</v>
      </c>
      <c r="T62" t="str">
        <v>HPQ</v>
      </c>
      <c r="U62">
        <v>13.018902937571211</v>
      </c>
      <c r="V62">
        <v>31.245367050170898</v>
      </c>
      <c r="W62">
        <v>26.785469055175781</v>
      </c>
      <c r="X62">
        <v>-0.14273789736039358</v>
      </c>
      <c r="AR62" t="str">
        <v>HPQ</v>
      </c>
      <c r="AS62">
        <v>13.018902937571211</v>
      </c>
      <c r="AT62">
        <v>31.245367050170898</v>
      </c>
      <c r="AU62">
        <v>26.785469055175781</v>
      </c>
    </row>
    <row r="63" spans="2:47" x14ac:dyDescent="0.2">
      <c r="B63" t="str">
        <v>HIG</v>
      </c>
      <c r="C63">
        <v>8.6914881361716709</v>
      </c>
      <c r="D63">
        <v>132.8059387207031</v>
      </c>
      <c r="E63">
        <v>138.8399963378906</v>
      </c>
      <c r="F63">
        <v>4.5435149025055244E-2</v>
      </c>
      <c r="H63" t="str">
        <v>HBAN</v>
      </c>
      <c r="I63">
        <v>11.761360168457029</v>
      </c>
      <c r="J63">
        <v>16.46590423583984</v>
      </c>
      <c r="K63">
        <v>17.119192123413089</v>
      </c>
      <c r="L63">
        <v>3.967519051588414E-2</v>
      </c>
      <c r="N63" t="str">
        <v>MS</v>
      </c>
      <c r="O63">
        <v>10.90145620680947</v>
      </c>
      <c r="P63">
        <v>114.2472610473633</v>
      </c>
      <c r="Q63">
        <v>139.04168701171881</v>
      </c>
      <c r="R63">
        <v>0.21702424843319901</v>
      </c>
      <c r="T63" t="str">
        <v>HBAN</v>
      </c>
      <c r="U63">
        <v>11.55868558322682</v>
      </c>
      <c r="V63">
        <v>15.71981239318848</v>
      </c>
      <c r="W63">
        <v>14.60102462768555</v>
      </c>
      <c r="X63">
        <v>-7.1170554553673257E-2</v>
      </c>
      <c r="AR63" t="str">
        <v>HBAN</v>
      </c>
      <c r="AS63">
        <v>11.55868558322682</v>
      </c>
      <c r="AT63">
        <v>15.71981239318848</v>
      </c>
      <c r="AU63">
        <v>14.60102462768555</v>
      </c>
    </row>
    <row r="64" spans="2:47" x14ac:dyDescent="0.2">
      <c r="B64" t="str">
        <v>HAS</v>
      </c>
      <c r="C64">
        <v>11.318034436329301</v>
      </c>
      <c r="D64">
        <v>75.151748657226562</v>
      </c>
      <c r="E64">
        <v>82.669998168945312</v>
      </c>
      <c r="F64">
        <v>0.10004091250105326</v>
      </c>
      <c r="H64" t="str">
        <v>INCY</v>
      </c>
      <c r="I64">
        <v>8.1459328318326669</v>
      </c>
      <c r="J64">
        <v>68.099998474121094</v>
      </c>
      <c r="K64">
        <v>84.80999755859375</v>
      </c>
      <c r="L64">
        <v>0.24537444139330897</v>
      </c>
      <c r="N64" t="str">
        <v>MOS</v>
      </c>
      <c r="O64">
        <v>8.8080895741780605</v>
      </c>
      <c r="P64">
        <v>26.42426872253418</v>
      </c>
      <c r="Q64">
        <v>35.903427124023438</v>
      </c>
      <c r="R64">
        <v>0.35872926138559846</v>
      </c>
      <c r="T64" t="str">
        <v>HII</v>
      </c>
      <c r="U64">
        <v>14.611034090556799</v>
      </c>
      <c r="V64">
        <v>184.0990295410156</v>
      </c>
      <c r="W64">
        <v>200.92781066894531</v>
      </c>
      <c r="X64">
        <v>9.1411568925084508E-2</v>
      </c>
      <c r="AR64" t="str">
        <v>HII</v>
      </c>
      <c r="AS64">
        <v>14.611034090556799</v>
      </c>
      <c r="AT64">
        <v>184.0990295410156</v>
      </c>
      <c r="AU64">
        <v>200.92781066894531</v>
      </c>
    </row>
    <row r="65" spans="2:47" x14ac:dyDescent="0.2">
      <c r="B65" t="str">
        <v>HCA</v>
      </c>
      <c r="C65">
        <v>14.88352100759043</v>
      </c>
      <c r="D65">
        <v>425.5670166015625</v>
      </c>
      <c r="E65">
        <v>473.260009765625</v>
      </c>
      <c r="F65">
        <v>0.11206928945039721</v>
      </c>
      <c r="H65" t="str">
        <v>IFF</v>
      </c>
      <c r="I65">
        <v>7.5960949375040858</v>
      </c>
      <c r="J65">
        <v>72.618667602539062</v>
      </c>
      <c r="K65">
        <v>61.163669586181641</v>
      </c>
      <c r="L65">
        <v>-0.15774178175580994</v>
      </c>
      <c r="N65" t="str">
        <v>NTAP</v>
      </c>
      <c r="O65">
        <v>12.883597505306771</v>
      </c>
      <c r="P65">
        <v>86.062431335449219</v>
      </c>
      <c r="Q65">
        <v>105.06325531005859</v>
      </c>
      <c r="R65">
        <v>0.22077953968728878</v>
      </c>
      <c r="T65" t="str">
        <v>IVZ</v>
      </c>
      <c r="U65">
        <v>9.0973988823268712</v>
      </c>
      <c r="V65">
        <v>16.739213943481449</v>
      </c>
      <c r="W65">
        <v>14.69060611724854</v>
      </c>
      <c r="X65">
        <v>-0.12238375309317755</v>
      </c>
      <c r="AR65" t="str">
        <v>IVZ</v>
      </c>
      <c r="AS65">
        <v>9.0973988823268712</v>
      </c>
      <c r="AT65">
        <v>16.739213943481449</v>
      </c>
      <c r="AU65">
        <v>14.69060611724854</v>
      </c>
    </row>
    <row r="66" spans="2:47" x14ac:dyDescent="0.2">
      <c r="B66" t="str">
        <v>HPQ</v>
      </c>
      <c r="C66">
        <v>7.9145650302662567</v>
      </c>
      <c r="D66">
        <v>26.90952110290527</v>
      </c>
      <c r="E66">
        <v>22.89999961853027</v>
      </c>
      <c r="F66">
        <v>-0.14900010554041834</v>
      </c>
      <c r="H66" t="str">
        <v>JPM</v>
      </c>
      <c r="I66">
        <v>13.61117844354539</v>
      </c>
      <c r="J66">
        <v>285.83474731445312</v>
      </c>
      <c r="K66">
        <v>312.49429321289062</v>
      </c>
      <c r="L66">
        <v>9.3269086942423918E-2</v>
      </c>
      <c r="N66" t="str">
        <v>NEM</v>
      </c>
      <c r="O66">
        <v>7.1066873414175857</v>
      </c>
      <c r="P66">
        <v>47.756938934326172</v>
      </c>
      <c r="Q66">
        <v>57.898609161376953</v>
      </c>
      <c r="R66">
        <v>0.21236013976937015</v>
      </c>
      <c r="T66" t="str">
        <v>JPM</v>
      </c>
      <c r="U66">
        <v>12.100958923086591</v>
      </c>
      <c r="V66">
        <v>233.3064880371094</v>
      </c>
      <c r="W66">
        <v>240.37127685546881</v>
      </c>
      <c r="X66">
        <v>3.0281150249176474E-2</v>
      </c>
      <c r="AR66" t="str">
        <v>JPM</v>
      </c>
      <c r="AS66">
        <v>12.100958923086591</v>
      </c>
      <c r="AT66">
        <v>233.3064880371094</v>
      </c>
      <c r="AU66">
        <v>240.37127685546881</v>
      </c>
    </row>
    <row r="67" spans="2:47" x14ac:dyDescent="0.2">
      <c r="B67" t="str">
        <v>HBAN</v>
      </c>
      <c r="C67">
        <v>10.438531782568949</v>
      </c>
      <c r="D67">
        <v>17.119192123413089</v>
      </c>
      <c r="E67">
        <v>17.469999313354489</v>
      </c>
      <c r="F67">
        <v>2.0492041178836771E-2</v>
      </c>
      <c r="H67" t="str">
        <v>KEY</v>
      </c>
      <c r="I67">
        <v>12.17555999755859</v>
      </c>
      <c r="J67">
        <v>17.045783996582031</v>
      </c>
      <c r="K67">
        <v>18.48423004150391</v>
      </c>
      <c r="L67">
        <v>8.4387203616466774E-2</v>
      </c>
      <c r="N67" t="str">
        <v>NI</v>
      </c>
      <c r="O67">
        <v>9.7232998007594951</v>
      </c>
      <c r="P67">
        <v>39.282131195068359</v>
      </c>
      <c r="Q67">
        <v>39.807704925537109</v>
      </c>
      <c r="R67">
        <v>1.3379460698271195E-2</v>
      </c>
      <c r="T67" t="str">
        <v>KHC</v>
      </c>
      <c r="U67">
        <v>4.0460516503975219</v>
      </c>
      <c r="V67">
        <v>28.64604568481445</v>
      </c>
      <c r="W67">
        <v>29.084011077880859</v>
      </c>
      <c r="X67">
        <v>1.5288860385312433E-2</v>
      </c>
      <c r="AR67" t="str">
        <v>KHC</v>
      </c>
      <c r="AS67">
        <v>4.0460516503975219</v>
      </c>
      <c r="AT67">
        <v>28.64604568481445</v>
      </c>
      <c r="AU67">
        <v>29.084011077880859</v>
      </c>
    </row>
    <row r="68" spans="2:47" x14ac:dyDescent="0.2">
      <c r="B68" t="str">
        <v>INCY</v>
      </c>
      <c r="C68">
        <v>9.7707370459209386</v>
      </c>
      <c r="D68">
        <v>84.80999755859375</v>
      </c>
      <c r="E68">
        <v>98.910003662109375</v>
      </c>
      <c r="F68">
        <v>0.16625405623640274</v>
      </c>
      <c r="H68" t="str">
        <v>LDOS</v>
      </c>
      <c r="I68">
        <v>12.958746932127299</v>
      </c>
      <c r="J68">
        <v>157.06001281738281</v>
      </c>
      <c r="K68">
        <v>188.53175354003909</v>
      </c>
      <c r="L68">
        <v>0.20038035244049784</v>
      </c>
      <c r="N68" t="str">
        <v>NTRS</v>
      </c>
      <c r="O68">
        <v>12.665611786368011</v>
      </c>
      <c r="P68">
        <v>96.765274047851562</v>
      </c>
      <c r="Q68">
        <v>125.2499465942383</v>
      </c>
      <c r="R68">
        <v>0.29436874774209526</v>
      </c>
      <c r="T68" t="str">
        <v>LEN</v>
      </c>
      <c r="U68">
        <v>7.9825546941146479</v>
      </c>
      <c r="V68">
        <v>129.6366882324219</v>
      </c>
      <c r="W68">
        <v>113.2704544067383</v>
      </c>
      <c r="X68">
        <v>-0.126246929390398</v>
      </c>
      <c r="AR68" t="str">
        <v>LEN</v>
      </c>
      <c r="AS68">
        <v>7.9825546941146479</v>
      </c>
      <c r="AT68">
        <v>129.6366882324219</v>
      </c>
      <c r="AU68">
        <v>113.2704544067383</v>
      </c>
    </row>
    <row r="69" spans="2:47" x14ac:dyDescent="0.2">
      <c r="B69" t="str">
        <v>INTC</v>
      </c>
      <c r="C69">
        <v>9.319444232516819</v>
      </c>
      <c r="D69">
        <v>33.549999237060547</v>
      </c>
      <c r="E69">
        <v>37.299999237060547</v>
      </c>
      <c r="F69">
        <v>0.11177347497098045</v>
      </c>
      <c r="H69" t="str">
        <v>LKQ</v>
      </c>
      <c r="I69">
        <v>12.096101125081381</v>
      </c>
      <c r="J69">
        <v>36.288303375244141</v>
      </c>
      <c r="K69">
        <v>30.230474472045898</v>
      </c>
      <c r="L69">
        <v>-0.16693612926888418</v>
      </c>
      <c r="N69" t="str">
        <v>NRG</v>
      </c>
      <c r="O69">
        <v>6.39079119708087</v>
      </c>
      <c r="P69">
        <v>94.583709716796875</v>
      </c>
      <c r="Q69">
        <v>159.74739074707031</v>
      </c>
      <c r="R69">
        <v>0.68895247633431733</v>
      </c>
      <c r="T69" t="str">
        <v>LKQ</v>
      </c>
      <c r="U69">
        <v>14.588127136230471</v>
      </c>
      <c r="V69">
        <v>35.011505126953118</v>
      </c>
      <c r="W69">
        <v>41.412681579589837</v>
      </c>
      <c r="X69">
        <v>0.182830656077932</v>
      </c>
      <c r="AR69" t="str">
        <v>LKQ</v>
      </c>
      <c r="AS69">
        <v>14.588127136230471</v>
      </c>
      <c r="AT69">
        <v>35.011505126953118</v>
      </c>
      <c r="AU69">
        <v>41.412681579589837</v>
      </c>
    </row>
    <row r="70" spans="2:47" x14ac:dyDescent="0.2">
      <c r="B70" t="str">
        <v>IVZ</v>
      </c>
      <c r="C70">
        <v>8.4847421788457602</v>
      </c>
      <c r="D70">
        <v>22.739109039306641</v>
      </c>
      <c r="E70">
        <v>26.45999908447266</v>
      </c>
      <c r="F70">
        <v>0.16363394180194654</v>
      </c>
      <c r="H70" t="str">
        <v>L</v>
      </c>
      <c r="I70">
        <v>12.238818693925991</v>
      </c>
      <c r="J70">
        <v>91.546363830566406</v>
      </c>
      <c r="K70">
        <v>100.331413269043</v>
      </c>
      <c r="L70">
        <v>9.5962844081234303E-2</v>
      </c>
      <c r="N70" t="str">
        <v>OXY</v>
      </c>
      <c r="O70">
        <v>14.982416600356871</v>
      </c>
      <c r="P70">
        <v>48.54302978515625</v>
      </c>
      <c r="Q70">
        <v>41.545272827148438</v>
      </c>
      <c r="R70">
        <v>-0.14415575189638502</v>
      </c>
      <c r="T70" t="str">
        <v>MTB</v>
      </c>
      <c r="U70">
        <v>11.79196465875685</v>
      </c>
      <c r="V70">
        <v>183.01129150390619</v>
      </c>
      <c r="W70">
        <v>174.72026062011719</v>
      </c>
      <c r="X70">
        <v>-4.5303384374029414E-2</v>
      </c>
      <c r="AR70" t="str">
        <v>MTB</v>
      </c>
      <c r="AS70">
        <v>11.79196465875685</v>
      </c>
      <c r="AT70">
        <v>183.01129150390619</v>
      </c>
      <c r="AU70">
        <v>174.72026062011719</v>
      </c>
    </row>
    <row r="71" spans="2:47" x14ac:dyDescent="0.2">
      <c r="B71" t="str">
        <v>JCI</v>
      </c>
      <c r="C71">
        <v>10.256529566067369</v>
      </c>
      <c r="D71">
        <v>109.9499969482422</v>
      </c>
      <c r="E71">
        <v>120.94000244140619</v>
      </c>
      <c r="F71">
        <v>9.9954577518882703E-2</v>
      </c>
      <c r="H71" t="str">
        <v>LOW</v>
      </c>
      <c r="I71">
        <v>12.7707098131982</v>
      </c>
      <c r="J71">
        <v>218.6345520019531</v>
      </c>
      <c r="K71">
        <v>248.96234130859381</v>
      </c>
      <c r="L71">
        <v>0.13871453084126331</v>
      </c>
      <c r="N71" t="str">
        <v>OMC</v>
      </c>
      <c r="O71">
        <v>13.79590230445339</v>
      </c>
      <c r="P71">
        <v>80.568069458007812</v>
      </c>
      <c r="Q71">
        <v>70.598625183105469</v>
      </c>
      <c r="R71">
        <v>-0.12373939628897812</v>
      </c>
      <c r="T71" t="str">
        <v>MTCH</v>
      </c>
      <c r="U71">
        <v>12.642410823277061</v>
      </c>
      <c r="V71">
        <v>31.8588752746582</v>
      </c>
      <c r="W71">
        <v>30.48200607299805</v>
      </c>
      <c r="X71">
        <v>-4.3217759252014931E-2</v>
      </c>
      <c r="AR71" t="str">
        <v>MTCH</v>
      </c>
      <c r="AS71">
        <v>12.642410823277061</v>
      </c>
      <c r="AT71">
        <v>31.8588752746582</v>
      </c>
      <c r="AU71">
        <v>30.48200607299805</v>
      </c>
    </row>
    <row r="72" spans="2:47" x14ac:dyDescent="0.2">
      <c r="B72" t="str">
        <v>KDP</v>
      </c>
      <c r="C72">
        <v>12.908432435016239</v>
      </c>
      <c r="D72">
        <v>25.300527572631839</v>
      </c>
      <c r="E72">
        <v>27.918849945068359</v>
      </c>
      <c r="F72">
        <v>0.10348884484404267</v>
      </c>
      <c r="H72" t="str">
        <v>MTB</v>
      </c>
      <c r="I72">
        <v>11.21060456468466</v>
      </c>
      <c r="J72">
        <v>191.02870178222659</v>
      </c>
      <c r="K72">
        <v>196.06163024902341</v>
      </c>
      <c r="L72">
        <v>2.6346451710352797E-2</v>
      </c>
      <c r="N72" t="str">
        <v>PYPL</v>
      </c>
      <c r="O72">
        <v>12.423570647494479</v>
      </c>
      <c r="P72">
        <v>65.099510192871094</v>
      </c>
      <c r="Q72">
        <v>74.148590087890625</v>
      </c>
      <c r="R72">
        <v>0.13900380921776084</v>
      </c>
      <c r="T72" t="str">
        <v>MET</v>
      </c>
      <c r="U72">
        <v>11.125523856516629</v>
      </c>
      <c r="V72">
        <v>79.213729858398438</v>
      </c>
      <c r="W72">
        <v>78.528717041015625</v>
      </c>
      <c r="X72">
        <v>-8.6476526052659507E-3</v>
      </c>
      <c r="AR72" t="str">
        <v>MET</v>
      </c>
      <c r="AS72">
        <v>11.125523856516629</v>
      </c>
      <c r="AT72">
        <v>79.213729858398438</v>
      </c>
      <c r="AU72">
        <v>78.528717041015625</v>
      </c>
    </row>
    <row r="73" spans="2:47" x14ac:dyDescent="0.2">
      <c r="B73" t="str">
        <v>KEY</v>
      </c>
      <c r="C73">
        <v>11.27087197652677</v>
      </c>
      <c r="D73">
        <v>18.48423004150391</v>
      </c>
      <c r="E73">
        <v>20.729999542236332</v>
      </c>
      <c r="F73">
        <v>0.12149651328131286</v>
      </c>
      <c r="H73" t="str">
        <v>MPC</v>
      </c>
      <c r="I73">
        <v>10.3764437665843</v>
      </c>
      <c r="J73">
        <v>164.36286926269531</v>
      </c>
      <c r="K73">
        <v>191.77442932128909</v>
      </c>
      <c r="L73">
        <v>0.16677465039128064</v>
      </c>
      <c r="N73" t="str">
        <v>PFE</v>
      </c>
      <c r="O73">
        <v>11.35823543255146</v>
      </c>
      <c r="P73">
        <v>23.625129699707031</v>
      </c>
      <c r="Q73">
        <v>23.030710220336911</v>
      </c>
      <c r="R73">
        <v>-2.5160474754028207E-2</v>
      </c>
      <c r="T73" t="str">
        <v>MU</v>
      </c>
      <c r="U73">
        <v>12.653471174694239</v>
      </c>
      <c r="V73">
        <v>85.031326293945312</v>
      </c>
      <c r="W73">
        <v>86.718925476074219</v>
      </c>
      <c r="X73">
        <v>1.9846793595751221E-2</v>
      </c>
      <c r="AR73" t="str">
        <v>MU</v>
      </c>
      <c r="AS73">
        <v>12.653471174694239</v>
      </c>
      <c r="AT73">
        <v>85.031326293945312</v>
      </c>
      <c r="AU73">
        <v>86.718925476074219</v>
      </c>
    </row>
    <row r="74" spans="2:47" x14ac:dyDescent="0.2">
      <c r="B74" t="str">
        <v>KHC</v>
      </c>
      <c r="C74">
        <v>12.323617935180661</v>
      </c>
      <c r="D74">
        <v>25.633125305175781</v>
      </c>
      <c r="E74">
        <v>24.430000305175781</v>
      </c>
      <c r="F74">
        <v>-4.6936336700116231E-2</v>
      </c>
      <c r="H74" t="str">
        <v>MAS</v>
      </c>
      <c r="I74">
        <v>12.35875014043526</v>
      </c>
      <c r="J74">
        <v>63.752464294433587</v>
      </c>
      <c r="K74">
        <v>70.038612365722656</v>
      </c>
      <c r="L74">
        <v>9.8602432719419306E-2</v>
      </c>
      <c r="N74" t="str">
        <v>PNC</v>
      </c>
      <c r="O74">
        <v>12.04486651854082</v>
      </c>
      <c r="P74">
        <v>169.59172058105469</v>
      </c>
      <c r="Q74">
        <v>181.73866271972659</v>
      </c>
      <c r="R74">
        <v>7.16246176231604E-2</v>
      </c>
      <c r="T74" t="str">
        <v>TAP</v>
      </c>
      <c r="U74">
        <v>9.7927461351667144</v>
      </c>
      <c r="V74">
        <v>54.839378356933587</v>
      </c>
      <c r="W74">
        <v>59.134071350097663</v>
      </c>
      <c r="X74">
        <v>7.8314034947864791E-2</v>
      </c>
      <c r="AR74" t="str">
        <v>TAP</v>
      </c>
      <c r="AS74">
        <v>9.7927461351667144</v>
      </c>
      <c r="AT74">
        <v>54.839378356933587</v>
      </c>
      <c r="AU74">
        <v>59.134071350097663</v>
      </c>
    </row>
    <row r="75" spans="2:47" x14ac:dyDescent="0.2">
      <c r="B75" t="str">
        <v>LEN</v>
      </c>
      <c r="C75">
        <v>13.70147638445858</v>
      </c>
      <c r="D75">
        <v>125.5055236816406</v>
      </c>
      <c r="E75">
        <v>103.88999938964839</v>
      </c>
      <c r="F75">
        <v>-0.17222767299726585</v>
      </c>
      <c r="H75" t="str">
        <v>MTCH</v>
      </c>
      <c r="I75">
        <v>14.883553748037301</v>
      </c>
      <c r="J75">
        <v>30.36244964599609</v>
      </c>
      <c r="K75">
        <v>34.92132568359375</v>
      </c>
      <c r="L75">
        <v>0.15014849232360408</v>
      </c>
      <c r="N75" t="str">
        <v>PRU</v>
      </c>
      <c r="O75">
        <v>13.70755312394123</v>
      </c>
      <c r="P75">
        <v>107.4672164916992</v>
      </c>
      <c r="Q75">
        <v>104.69610595703119</v>
      </c>
      <c r="R75">
        <v>-2.5785636077045437E-2</v>
      </c>
      <c r="T75" t="str">
        <v>MDLZ</v>
      </c>
      <c r="U75">
        <v>10.931380468470451</v>
      </c>
      <c r="V75">
        <v>57.280433654785163</v>
      </c>
      <c r="W75">
        <v>66.231842041015625</v>
      </c>
      <c r="X75">
        <v>0.15627340463548792</v>
      </c>
      <c r="AR75" t="str">
        <v>MDLZ</v>
      </c>
      <c r="AS75">
        <v>10.931380468470451</v>
      </c>
      <c r="AT75">
        <v>57.280433654785163</v>
      </c>
      <c r="AU75">
        <v>66.231842041015625</v>
      </c>
    </row>
    <row r="76" spans="2:47" x14ac:dyDescent="0.2">
      <c r="B76" t="str">
        <v>LKQ</v>
      </c>
      <c r="C76">
        <v>10.796598025730679</v>
      </c>
      <c r="D76">
        <v>30.230474472045898</v>
      </c>
      <c r="E76">
        <v>30.809999465942379</v>
      </c>
      <c r="F76">
        <v>1.9170224881265664E-2</v>
      </c>
      <c r="H76" t="str">
        <v>MRK</v>
      </c>
      <c r="I76">
        <v>10.986428120230761</v>
      </c>
      <c r="J76">
        <v>77.721420288085938</v>
      </c>
      <c r="K76">
        <v>83.218727111816406</v>
      </c>
      <c r="L76">
        <v>7.073091051802563E-2</v>
      </c>
      <c r="N76" t="str">
        <v>PHM</v>
      </c>
      <c r="O76">
        <v>9.8649949180573575</v>
      </c>
      <c r="P76">
        <v>102.2013473510742</v>
      </c>
      <c r="Q76">
        <v>105.07155609130859</v>
      </c>
      <c r="R76">
        <v>2.8083864005969208E-2</v>
      </c>
      <c r="T76" t="str">
        <v>MPWR</v>
      </c>
      <c r="U76">
        <v>4.9786732991536464</v>
      </c>
      <c r="V76">
        <v>597.4407958984375</v>
      </c>
      <c r="W76">
        <v>576.75689697265625</v>
      </c>
      <c r="X76">
        <v>-3.4620834512441676E-2</v>
      </c>
      <c r="AR76" t="str">
        <v>MPWR</v>
      </c>
      <c r="AS76">
        <v>4.9786732991536464</v>
      </c>
      <c r="AT76">
        <v>597.4407958984375</v>
      </c>
      <c r="AU76">
        <v>576.75689697265625</v>
      </c>
    </row>
    <row r="77" spans="2:47" x14ac:dyDescent="0.2">
      <c r="B77" t="str">
        <v>L</v>
      </c>
      <c r="C77">
        <v>10.32216185895504</v>
      </c>
      <c r="D77">
        <v>100.331413269043</v>
      </c>
      <c r="E77">
        <v>106.19000244140619</v>
      </c>
      <c r="F77">
        <v>5.8392371655855556E-2</v>
      </c>
      <c r="H77" t="str">
        <v>MHK</v>
      </c>
      <c r="I77">
        <v>11.153191099775601</v>
      </c>
      <c r="J77">
        <v>104.8399963378906</v>
      </c>
      <c r="K77">
        <v>128.91999816894531</v>
      </c>
      <c r="L77">
        <v>0.22968335246261237</v>
      </c>
      <c r="N77" t="str">
        <v>QCOM</v>
      </c>
      <c r="O77">
        <v>14.809498506433821</v>
      </c>
      <c r="P77">
        <v>151.056884765625</v>
      </c>
      <c r="Q77">
        <v>157.55375671386719</v>
      </c>
      <c r="R77">
        <v>4.3009439512290519E-2</v>
      </c>
      <c r="T77" t="str">
        <v>MS</v>
      </c>
      <c r="U77">
        <v>13.591641743977871</v>
      </c>
      <c r="V77">
        <v>122.3247756958008</v>
      </c>
      <c r="W77">
        <v>114.2472610473633</v>
      </c>
      <c r="X77">
        <v>-6.60333493561827E-2</v>
      </c>
      <c r="AR77" t="str">
        <v>MS</v>
      </c>
      <c r="AS77">
        <v>13.591641743977871</v>
      </c>
      <c r="AT77">
        <v>122.3247756958008</v>
      </c>
      <c r="AU77">
        <v>114.2472610473633</v>
      </c>
    </row>
    <row r="78" spans="2:47" x14ac:dyDescent="0.2">
      <c r="B78" t="str">
        <v>MTB</v>
      </c>
      <c r="C78">
        <v>10.106269600465129</v>
      </c>
      <c r="D78">
        <v>196.06163024902341</v>
      </c>
      <c r="E78">
        <v>203.55000305175781</v>
      </c>
      <c r="F78">
        <v>3.8193973972486153E-2</v>
      </c>
      <c r="H78" t="str">
        <v>TAP</v>
      </c>
      <c r="I78">
        <v>5.5076893244948337</v>
      </c>
      <c r="J78">
        <v>47.145820617675781</v>
      </c>
      <c r="K78">
        <v>44.783298492431641</v>
      </c>
      <c r="L78">
        <v>-5.0110955632796647E-2</v>
      </c>
      <c r="N78" t="str">
        <v>RJF</v>
      </c>
      <c r="O78">
        <v>14.221636190453999</v>
      </c>
      <c r="P78">
        <v>137.09657287597659</v>
      </c>
      <c r="Q78">
        <v>151.91461181640619</v>
      </c>
      <c r="R78">
        <v>0.10808467804541426</v>
      </c>
      <c r="T78" t="str">
        <v>MOS</v>
      </c>
      <c r="U78">
        <v>10.97427853998148</v>
      </c>
      <c r="V78">
        <v>23.265470504760739</v>
      </c>
      <c r="W78">
        <v>26.42426872253418</v>
      </c>
      <c r="X78">
        <v>0.13577194654744104</v>
      </c>
      <c r="AR78" t="str">
        <v>MOS</v>
      </c>
      <c r="AS78">
        <v>10.97427853998148</v>
      </c>
      <c r="AT78">
        <v>23.265470504760739</v>
      </c>
      <c r="AU78">
        <v>26.42426872253418</v>
      </c>
    </row>
    <row r="79" spans="2:47" x14ac:dyDescent="0.2">
      <c r="B79" t="str">
        <v>MPC</v>
      </c>
      <c r="C79">
        <v>10.63051160317567</v>
      </c>
      <c r="D79">
        <v>191.77442932128909</v>
      </c>
      <c r="E79">
        <v>163.82000732421881</v>
      </c>
      <c r="F79">
        <v>-0.14576720210303362</v>
      </c>
      <c r="H79" t="str">
        <v>MOS</v>
      </c>
      <c r="I79">
        <v>6.934344232803201</v>
      </c>
      <c r="J79">
        <v>35.903427124023438</v>
      </c>
      <c r="K79">
        <v>34.364856719970703</v>
      </c>
      <c r="L79">
        <v>-4.2853023438067767E-2</v>
      </c>
      <c r="N79" t="str">
        <v>RF</v>
      </c>
      <c r="O79">
        <v>10.317335876764041</v>
      </c>
      <c r="P79">
        <v>21.047365188598629</v>
      </c>
      <c r="Q79">
        <v>23.049907684326168</v>
      </c>
      <c r="R79">
        <v>9.5144569298028697E-2</v>
      </c>
      <c r="T79" t="str">
        <v>NEM</v>
      </c>
      <c r="U79">
        <v>7.3353105975735584</v>
      </c>
      <c r="V79">
        <v>36.383140563964837</v>
      </c>
      <c r="W79">
        <v>47.756938934326172</v>
      </c>
      <c r="X79">
        <v>0.31261178100788672</v>
      </c>
      <c r="AR79" t="str">
        <v>NEM</v>
      </c>
      <c r="AS79">
        <v>7.3353105975735584</v>
      </c>
      <c r="AT79">
        <v>36.383140563964837</v>
      </c>
      <c r="AU79">
        <v>47.756938934326172</v>
      </c>
    </row>
    <row r="80" spans="2:47" x14ac:dyDescent="0.2">
      <c r="B80" t="str">
        <v>MTCH</v>
      </c>
      <c r="C80">
        <v>13.030345404326029</v>
      </c>
      <c r="D80">
        <v>34.92132568359375</v>
      </c>
      <c r="E80">
        <v>31.971755981445309</v>
      </c>
      <c r="F80">
        <v>-8.4463279798514826E-2</v>
      </c>
      <c r="H80" t="str">
        <v>NEM</v>
      </c>
      <c r="I80">
        <v>7.7820711238409883</v>
      </c>
      <c r="J80">
        <v>57.898609161376953</v>
      </c>
      <c r="K80">
        <v>84.065681457519531</v>
      </c>
      <c r="L80">
        <v>0.45194647462443932</v>
      </c>
      <c r="N80" t="str">
        <v>STX</v>
      </c>
      <c r="O80">
        <v>13.12739729881287</v>
      </c>
      <c r="P80">
        <v>84.015342712402344</v>
      </c>
      <c r="Q80">
        <v>143.50001525878909</v>
      </c>
      <c r="R80">
        <v>0.70802154256529171</v>
      </c>
      <c r="T80" t="str">
        <v>NTRS</v>
      </c>
      <c r="U80">
        <v>11.01217479957883</v>
      </c>
      <c r="V80">
        <v>99.990547180175781</v>
      </c>
      <c r="W80">
        <v>96.765274047851562</v>
      </c>
      <c r="X80">
        <v>-3.2255780404046676E-2</v>
      </c>
      <c r="AR80" t="str">
        <v>NTRS</v>
      </c>
      <c r="AS80">
        <v>11.01217479957883</v>
      </c>
      <c r="AT80">
        <v>99.990547180175781</v>
      </c>
      <c r="AU80">
        <v>96.765274047851562</v>
      </c>
    </row>
    <row r="81" spans="2:47" x14ac:dyDescent="0.2">
      <c r="B81" t="str">
        <v>MRK</v>
      </c>
      <c r="C81">
        <v>8.9452877016876577</v>
      </c>
      <c r="D81">
        <v>83.218727111816406</v>
      </c>
      <c r="E81">
        <v>106.05999755859381</v>
      </c>
      <c r="F81">
        <v>0.27447272073852857</v>
      </c>
      <c r="H81" t="str">
        <v>NWSA</v>
      </c>
      <c r="I81">
        <v>5.6524768130469862</v>
      </c>
      <c r="J81">
        <v>29.618978500366211</v>
      </c>
      <c r="K81">
        <v>30.70999908447266</v>
      </c>
      <c r="L81">
        <v>3.683518606466997E-2</v>
      </c>
      <c r="N81" t="str">
        <v>SRE</v>
      </c>
      <c r="O81">
        <v>12.541493752019869</v>
      </c>
      <c r="P81">
        <v>69.730705261230469</v>
      </c>
      <c r="Q81">
        <v>74.682106018066406</v>
      </c>
      <c r="R81">
        <v>7.1007467058975288E-2</v>
      </c>
      <c r="T81" t="str">
        <v>NCLH</v>
      </c>
      <c r="U81">
        <v>11.09913793103448</v>
      </c>
      <c r="V81">
        <v>25.75</v>
      </c>
      <c r="W81">
        <v>18.95999908447266</v>
      </c>
      <c r="X81">
        <v>-0.26368935594280934</v>
      </c>
      <c r="AR81" t="str">
        <v>NCLH</v>
      </c>
      <c r="AS81">
        <v>11.09913793103448</v>
      </c>
      <c r="AT81">
        <v>25.75</v>
      </c>
      <c r="AU81">
        <v>18.95999908447266</v>
      </c>
    </row>
    <row r="82" spans="2:47" x14ac:dyDescent="0.2">
      <c r="B82" t="str">
        <v>MU</v>
      </c>
      <c r="C82">
        <v>14.61081871619591</v>
      </c>
      <c r="D82">
        <v>167.14776611328119</v>
      </c>
      <c r="E82">
        <v>292.6300048828125</v>
      </c>
      <c r="F82">
        <v>0.75072638831731753</v>
      </c>
      <c r="H82" t="str">
        <v>NWS</v>
      </c>
      <c r="I82">
        <v>6.5275323299961237</v>
      </c>
      <c r="J82">
        <v>34.204269409179688</v>
      </c>
      <c r="K82">
        <v>34.549999237060547</v>
      </c>
      <c r="L82">
        <v>1.0107797472442811E-2</v>
      </c>
      <c r="N82" t="str">
        <v>SW</v>
      </c>
      <c r="O82">
        <v>14.93358483185639</v>
      </c>
      <c r="P82">
        <v>44.203411102294922</v>
      </c>
      <c r="Q82">
        <v>42.724620819091797</v>
      </c>
      <c r="R82">
        <v>-3.3454211933575194E-2</v>
      </c>
      <c r="T82" t="str">
        <v>NVR</v>
      </c>
      <c r="U82">
        <v>13.641984718595671</v>
      </c>
      <c r="V82">
        <v>8176.4599609375</v>
      </c>
      <c r="W82">
        <v>7244.39013671875</v>
      </c>
      <c r="X82">
        <v>-0.11399429932656092</v>
      </c>
      <c r="AR82" t="str">
        <v>OMC</v>
      </c>
      <c r="AS82">
        <v>9.0694276910079168</v>
      </c>
      <c r="AT82">
        <v>82.713180541992188</v>
      </c>
      <c r="AU82">
        <v>80.568069458007812</v>
      </c>
    </row>
    <row r="83" spans="2:47" x14ac:dyDescent="0.2">
      <c r="B83" t="str">
        <v>MS</v>
      </c>
      <c r="C83">
        <v>13.957431375348531</v>
      </c>
      <c r="D83">
        <v>157.99812316894531</v>
      </c>
      <c r="E83">
        <v>179.08000183105469</v>
      </c>
      <c r="F83">
        <v>0.13343119677166546</v>
      </c>
      <c r="H83" t="str">
        <v>NTRS</v>
      </c>
      <c r="I83">
        <v>14.632003106803539</v>
      </c>
      <c r="J83">
        <v>125.2499465942383</v>
      </c>
      <c r="K83">
        <v>133.7916564941406</v>
      </c>
      <c r="L83">
        <v>6.819731370883661E-2</v>
      </c>
      <c r="N83" t="str">
        <v>STT</v>
      </c>
      <c r="O83">
        <v>10.49851219435245</v>
      </c>
      <c r="P83">
        <v>86.927680969238281</v>
      </c>
      <c r="Q83">
        <v>104.13304138183589</v>
      </c>
      <c r="R83">
        <v>0.19792729106262708</v>
      </c>
      <c r="T83" t="str">
        <v>OMC</v>
      </c>
      <c r="U83">
        <v>9.0694276910079168</v>
      </c>
      <c r="V83">
        <v>82.713180541992188</v>
      </c>
      <c r="W83">
        <v>80.568069458007812</v>
      </c>
      <c r="X83">
        <v>-2.5934331988301862E-2</v>
      </c>
      <c r="AR83" t="str">
        <v>PNC</v>
      </c>
      <c r="AS83">
        <v>12.217767042569839</v>
      </c>
      <c r="AT83">
        <v>184.2439270019531</v>
      </c>
      <c r="AU83">
        <v>169.59172058105469</v>
      </c>
    </row>
    <row r="84" spans="2:47" x14ac:dyDescent="0.2">
      <c r="B84" t="str">
        <v>MOS</v>
      </c>
      <c r="C84">
        <v>6.628373747320035</v>
      </c>
      <c r="D84">
        <v>34.364856719970703</v>
      </c>
      <c r="E84">
        <v>24.14999961853027</v>
      </c>
      <c r="F84">
        <v>-0.29724719019428353</v>
      </c>
      <c r="H84" t="str">
        <v>NUE</v>
      </c>
      <c r="I84">
        <v>12.363270979661211</v>
      </c>
      <c r="J84">
        <v>128.57801818847659</v>
      </c>
      <c r="K84">
        <v>134.96978759765619</v>
      </c>
      <c r="L84">
        <v>4.9711214243559128E-2</v>
      </c>
      <c r="N84" t="str">
        <v>SYF</v>
      </c>
      <c r="O84">
        <v>6.8330175589516529</v>
      </c>
      <c r="P84">
        <v>52.204254150390618</v>
      </c>
      <c r="Q84">
        <v>66.178909301757812</v>
      </c>
      <c r="R84">
        <v>0.26769188409643485</v>
      </c>
      <c r="T84" t="str">
        <v>PNC</v>
      </c>
      <c r="U84">
        <v>12.217767042569839</v>
      </c>
      <c r="V84">
        <v>184.2439270019531</v>
      </c>
      <c r="W84">
        <v>169.59172058105469</v>
      </c>
      <c r="X84">
        <v>-7.9526129622405878E-2</v>
      </c>
      <c r="AR84" t="str">
        <v>PFG</v>
      </c>
      <c r="AS84">
        <v>10.981393247798771</v>
      </c>
      <c r="AT84">
        <v>74.344032287597656</v>
      </c>
      <c r="AU84">
        <v>81.958885192871094</v>
      </c>
    </row>
    <row r="85" spans="2:47" x14ac:dyDescent="0.2">
      <c r="B85" t="str">
        <v>NEM</v>
      </c>
      <c r="C85">
        <v>12.584682852922089</v>
      </c>
      <c r="D85">
        <v>84.065681457519531</v>
      </c>
      <c r="E85">
        <v>101.86000061035161</v>
      </c>
      <c r="F85">
        <v>0.21167162204976575</v>
      </c>
      <c r="H85" t="str">
        <v>OMC</v>
      </c>
      <c r="I85">
        <v>13.37095173922452</v>
      </c>
      <c r="J85">
        <v>70.598625183105469</v>
      </c>
      <c r="K85">
        <v>80.731269836425781</v>
      </c>
      <c r="L85">
        <v>0.14352467384513734</v>
      </c>
      <c r="N85" t="str">
        <v>TROW</v>
      </c>
      <c r="O85">
        <v>10.2863418224246</v>
      </c>
      <c r="P85">
        <v>88.462539672851562</v>
      </c>
      <c r="Q85">
        <v>94.185516357421875</v>
      </c>
      <c r="R85">
        <v>6.4693786836041378E-2</v>
      </c>
      <c r="T85" t="str">
        <v>PFG</v>
      </c>
      <c r="U85">
        <v>10.981393247798771</v>
      </c>
      <c r="V85">
        <v>74.344032287597656</v>
      </c>
      <c r="W85">
        <v>81.958885192871094</v>
      </c>
      <c r="X85">
        <v>0.1024272247678954</v>
      </c>
      <c r="AR85" t="str">
        <v>PHM</v>
      </c>
      <c r="AS85">
        <v>6.0400939361094368</v>
      </c>
      <c r="AT85">
        <v>107.9968795776367</v>
      </c>
      <c r="AU85">
        <v>102.2013473510742</v>
      </c>
    </row>
    <row r="86" spans="2:47" x14ac:dyDescent="0.2">
      <c r="B86" t="str">
        <v>NTRS</v>
      </c>
      <c r="C86">
        <v>14.542571358058771</v>
      </c>
      <c r="D86">
        <v>133.7916564941406</v>
      </c>
      <c r="E86">
        <v>138.1300048828125</v>
      </c>
      <c r="F86">
        <v>3.2426150496626081E-2</v>
      </c>
      <c r="H86" t="str">
        <v>OKE</v>
      </c>
      <c r="I86">
        <v>14.80724847138818</v>
      </c>
      <c r="J86">
        <v>79.366851806640625</v>
      </c>
      <c r="K86">
        <v>71.848228454589844</v>
      </c>
      <c r="L86">
        <v>-9.473253859644333E-2</v>
      </c>
      <c r="N86" t="str">
        <v>TGT</v>
      </c>
      <c r="O86">
        <v>11.052943949113811</v>
      </c>
      <c r="P86">
        <v>100.802848815918</v>
      </c>
      <c r="Q86">
        <v>96.376815795898438</v>
      </c>
      <c r="R86">
        <v>-4.390781681281844E-2</v>
      </c>
      <c r="T86" t="str">
        <v>PHM</v>
      </c>
      <c r="U86">
        <v>6.0400939361094368</v>
      </c>
      <c r="V86">
        <v>107.9968795776367</v>
      </c>
      <c r="W86">
        <v>102.2013473510742</v>
      </c>
      <c r="X86">
        <v>-5.3663885931039448E-2</v>
      </c>
      <c r="AR86" t="str">
        <v>QCOM</v>
      </c>
      <c r="AS86">
        <v>13.216392143622979</v>
      </c>
      <c r="AT86">
        <v>151.1955261230469</v>
      </c>
      <c r="AU86">
        <v>151.056884765625</v>
      </c>
    </row>
    <row r="87" spans="2:47" x14ac:dyDescent="0.2">
      <c r="B87" t="str">
        <v>NCLH</v>
      </c>
      <c r="C87">
        <v>6.6209675163351074</v>
      </c>
      <c r="D87">
        <v>24.629999160766602</v>
      </c>
      <c r="E87">
        <v>22.430000305175781</v>
      </c>
      <c r="F87">
        <v>-8.9321921662718642E-2</v>
      </c>
      <c r="H87" t="str">
        <v>PYPL</v>
      </c>
      <c r="I87">
        <v>14.259344247671271</v>
      </c>
      <c r="J87">
        <v>74.148590087890625</v>
      </c>
      <c r="K87">
        <v>66.905326843261719</v>
      </c>
      <c r="L87">
        <v>-9.768578520566934E-2</v>
      </c>
      <c r="N87" t="str">
        <v>TFC</v>
      </c>
      <c r="O87">
        <v>11.26593893224543</v>
      </c>
      <c r="P87">
        <v>39.656105041503913</v>
      </c>
      <c r="Q87">
        <v>41.981132507324219</v>
      </c>
      <c r="R87">
        <v>5.8629748518845747E-2</v>
      </c>
      <c r="T87" t="str">
        <v>QCOM</v>
      </c>
      <c r="U87">
        <v>13.216392143622979</v>
      </c>
      <c r="V87">
        <v>151.1955261230469</v>
      </c>
      <c r="W87">
        <v>151.056884765625</v>
      </c>
      <c r="X87">
        <v>-9.1696732685776316E-4</v>
      </c>
      <c r="AR87" t="str">
        <v>RL</v>
      </c>
      <c r="AS87">
        <v>12.04417332881639</v>
      </c>
      <c r="AT87">
        <v>229.32106018066409</v>
      </c>
      <c r="AU87">
        <v>218.78602600097659</v>
      </c>
    </row>
    <row r="88" spans="2:47" x14ac:dyDescent="0.2">
      <c r="B88" t="str">
        <v>NUE</v>
      </c>
      <c r="C88">
        <v>12.82982771840839</v>
      </c>
      <c r="D88">
        <v>134.96978759765619</v>
      </c>
      <c r="E88">
        <v>164.24000549316409</v>
      </c>
      <c r="F88">
        <v>0.21686496227409183</v>
      </c>
      <c r="H88" t="str">
        <v>PFE</v>
      </c>
      <c r="I88">
        <v>11.289563833498489</v>
      </c>
      <c r="J88">
        <v>23.030710220336911</v>
      </c>
      <c r="K88">
        <v>24.626577377319339</v>
      </c>
      <c r="L88">
        <v>6.9293006673030136E-2</v>
      </c>
      <c r="N88" t="str">
        <v>USB</v>
      </c>
      <c r="O88">
        <v>9.9320041323171075</v>
      </c>
      <c r="P88">
        <v>40.919857025146477</v>
      </c>
      <c r="Q88">
        <v>44.341041564941413</v>
      </c>
      <c r="R88">
        <v>8.3606952431249104E-2</v>
      </c>
      <c r="T88" t="str">
        <v>RL</v>
      </c>
      <c r="U88">
        <v>12.04417332881639</v>
      </c>
      <c r="V88">
        <v>229.32106018066409</v>
      </c>
      <c r="W88">
        <v>218.78602600097659</v>
      </c>
      <c r="X88">
        <v>-4.5940107600181912E-2</v>
      </c>
      <c r="AR88" t="str">
        <v>RJF</v>
      </c>
      <c r="AS88">
        <v>12.993941015126749</v>
      </c>
      <c r="AT88">
        <v>152.8087463378906</v>
      </c>
      <c r="AU88">
        <v>137.09657287597659</v>
      </c>
    </row>
    <row r="89" spans="2:47" x14ac:dyDescent="0.2">
      <c r="B89" t="str">
        <v>OMC</v>
      </c>
      <c r="C89">
        <v>11.46750991994684</v>
      </c>
      <c r="D89">
        <v>80.731269836425781</v>
      </c>
      <c r="E89">
        <v>80.730003356933594</v>
      </c>
      <c r="F89">
        <v>-1.5687595336399218E-5</v>
      </c>
      <c r="H89" t="str">
        <v>PCG</v>
      </c>
      <c r="I89">
        <v>14.45165077845256</v>
      </c>
      <c r="J89">
        <v>13.87358474731445</v>
      </c>
      <c r="K89">
        <v>15.03310966491699</v>
      </c>
      <c r="L89">
        <v>8.3577888391606459E-2</v>
      </c>
      <c r="N89" t="str">
        <v>ULTA</v>
      </c>
      <c r="O89">
        <v>13.636161032177149</v>
      </c>
      <c r="P89">
        <v>366.54000854492188</v>
      </c>
      <c r="Q89">
        <v>467.82000732421881</v>
      </c>
      <c r="R89">
        <v>0.27631362584770719</v>
      </c>
      <c r="T89" t="str">
        <v>RJF</v>
      </c>
      <c r="U89">
        <v>12.993941015126749</v>
      </c>
      <c r="V89">
        <v>152.8087463378906</v>
      </c>
      <c r="W89">
        <v>137.09657287597659</v>
      </c>
      <c r="X89">
        <v>-0.10282247475004642</v>
      </c>
      <c r="AR89" t="str">
        <v>RF</v>
      </c>
      <c r="AS89">
        <v>10.12281349727086</v>
      </c>
      <c r="AT89">
        <v>22.675102233886719</v>
      </c>
      <c r="AU89">
        <v>21.047365188598629</v>
      </c>
    </row>
    <row r="90" spans="2:47" x14ac:dyDescent="0.2">
      <c r="B90" t="str">
        <v>OKE</v>
      </c>
      <c r="C90">
        <v>12.055071888354</v>
      </c>
      <c r="D90">
        <v>71.848228454589844</v>
      </c>
      <c r="E90">
        <v>73.819999694824219</v>
      </c>
      <c r="F90">
        <v>2.7443560998592909E-2</v>
      </c>
      <c r="H90" t="str">
        <v>PSX</v>
      </c>
      <c r="I90">
        <v>13.62075805664062</v>
      </c>
      <c r="J90">
        <v>117.1385192871094</v>
      </c>
      <c r="K90">
        <v>134.87312316894531</v>
      </c>
      <c r="L90">
        <v>0.1513985663278529</v>
      </c>
      <c r="N90" t="str">
        <v>UAL</v>
      </c>
      <c r="O90">
        <v>14.608204596043031</v>
      </c>
      <c r="P90">
        <v>69.050003051757812</v>
      </c>
      <c r="Q90">
        <v>79.629997253417969</v>
      </c>
      <c r="R90">
        <v>0.15322221193429506</v>
      </c>
      <c r="T90" t="str">
        <v>RF</v>
      </c>
      <c r="U90">
        <v>10.12281349727086</v>
      </c>
      <c r="V90">
        <v>22.675102233886719</v>
      </c>
      <c r="W90">
        <v>21.047365188598629</v>
      </c>
      <c r="X90">
        <v>-7.1785213071962437E-2</v>
      </c>
      <c r="AR90" t="str">
        <v>SLB</v>
      </c>
      <c r="AS90">
        <v>11.76472537868576</v>
      </c>
      <c r="AT90">
        <v>36.649707794189453</v>
      </c>
      <c r="AU90">
        <v>40.799354553222663</v>
      </c>
    </row>
    <row r="91" spans="2:47" x14ac:dyDescent="0.2">
      <c r="B91" t="str">
        <v>PYPL</v>
      </c>
      <c r="C91">
        <v>12.768192145660629</v>
      </c>
      <c r="D91">
        <v>66.905326843261719</v>
      </c>
      <c r="E91">
        <v>59.099998474121087</v>
      </c>
      <c r="F91">
        <v>-0.11666228591074786</v>
      </c>
      <c r="H91" t="str">
        <v>PNW</v>
      </c>
      <c r="I91">
        <v>13.61423516125412</v>
      </c>
      <c r="J91">
        <v>87.675674438476562</v>
      </c>
      <c r="K91">
        <v>88.73828125</v>
      </c>
      <c r="L91">
        <v>1.2119744938706869E-2</v>
      </c>
      <c r="N91" t="str">
        <v>UHS</v>
      </c>
      <c r="O91">
        <v>9.6171408463307717</v>
      </c>
      <c r="P91">
        <v>187.34190368652341</v>
      </c>
      <c r="Q91">
        <v>180.80192565917969</v>
      </c>
      <c r="R91">
        <v>-3.4909317662785017E-2</v>
      </c>
      <c r="T91" t="str">
        <v>SLB</v>
      </c>
      <c r="U91">
        <v>11.76472537868576</v>
      </c>
      <c r="V91">
        <v>36.649707794189453</v>
      </c>
      <c r="W91">
        <v>40.799354553222663</v>
      </c>
      <c r="X91">
        <v>0.11322455235757996</v>
      </c>
      <c r="AR91" t="str">
        <v>STX</v>
      </c>
      <c r="AS91">
        <v>13.43082838420627</v>
      </c>
      <c r="AT91">
        <v>84.882835388183594</v>
      </c>
      <c r="AU91">
        <v>84.015342712402344</v>
      </c>
    </row>
    <row r="92" spans="2:47" x14ac:dyDescent="0.2">
      <c r="B92" t="str">
        <v>PFE</v>
      </c>
      <c r="C92">
        <v>9.9300715231126357</v>
      </c>
      <c r="D92">
        <v>24.626577377319339</v>
      </c>
      <c r="E92">
        <v>24.578287124633789</v>
      </c>
      <c r="F92">
        <v>-1.9608998824995035E-3</v>
      </c>
      <c r="H92" t="str">
        <v>PNC</v>
      </c>
      <c r="I92">
        <v>11.770638777184359</v>
      </c>
      <c r="J92">
        <v>181.73866271972659</v>
      </c>
      <c r="K92">
        <v>197.58598327636719</v>
      </c>
      <c r="L92">
        <v>8.7198399721252429E-2</v>
      </c>
      <c r="N92" t="str">
        <v>VZ</v>
      </c>
      <c r="O92">
        <v>9.1494856209590516</v>
      </c>
      <c r="P92">
        <v>42.45361328125</v>
      </c>
      <c r="Q92">
        <v>41.147991180419922</v>
      </c>
      <c r="R92">
        <v>-3.0754086635229168E-2</v>
      </c>
      <c r="T92" t="str">
        <v>STX</v>
      </c>
      <c r="U92">
        <v>13.43082838420627</v>
      </c>
      <c r="V92">
        <v>84.882835388183594</v>
      </c>
      <c r="W92">
        <v>84.015342712402344</v>
      </c>
      <c r="X92">
        <v>-1.0219883346427566E-2</v>
      </c>
      <c r="AR92" t="str">
        <v>SWK</v>
      </c>
      <c r="AS92">
        <v>14.7810884224352</v>
      </c>
      <c r="AT92">
        <v>76.270416259765625</v>
      </c>
      <c r="AU92">
        <v>74.17535400390625</v>
      </c>
    </row>
    <row r="93" spans="2:47" x14ac:dyDescent="0.2">
      <c r="B93" t="str">
        <v>PCG</v>
      </c>
      <c r="C93">
        <v>10.15750653034932</v>
      </c>
      <c r="D93">
        <v>15.03310966491699</v>
      </c>
      <c r="E93">
        <v>16.030000686645511</v>
      </c>
      <c r="F93">
        <v>6.6313027972847258E-2</v>
      </c>
      <c r="H93" t="str">
        <v>POOL</v>
      </c>
      <c r="I93">
        <v>13.918645487585049</v>
      </c>
      <c r="J93">
        <v>288.95108032226562</v>
      </c>
      <c r="K93">
        <v>308.54592895507812</v>
      </c>
      <c r="L93">
        <v>6.7813723385143493E-2</v>
      </c>
      <c r="N93" t="str">
        <v>DIS</v>
      </c>
      <c r="O93">
        <v>13.483480590483101</v>
      </c>
      <c r="P93">
        <v>97.620399475097656</v>
      </c>
      <c r="Q93">
        <v>123.1766052246094</v>
      </c>
      <c r="R93">
        <v>0.26179165304512991</v>
      </c>
      <c r="T93" t="str">
        <v>SWK</v>
      </c>
      <c r="U93">
        <v>14.7810884224352</v>
      </c>
      <c r="V93">
        <v>76.270416259765625</v>
      </c>
      <c r="W93">
        <v>74.17535400390625</v>
      </c>
      <c r="X93">
        <v>-2.746887139993974E-2</v>
      </c>
      <c r="AR93" t="str">
        <v>STT</v>
      </c>
      <c r="AS93">
        <v>9.4684471130371097</v>
      </c>
      <c r="AT93">
        <v>94.684471130371094</v>
      </c>
      <c r="AU93">
        <v>86.927680969238281</v>
      </c>
    </row>
    <row r="94" spans="2:47" x14ac:dyDescent="0.2">
      <c r="B94" t="str">
        <v>PNW</v>
      </c>
      <c r="C94">
        <v>6.4303102355072461</v>
      </c>
      <c r="D94">
        <v>88.73828125</v>
      </c>
      <c r="E94">
        <v>89.260002136230469</v>
      </c>
      <c r="F94">
        <v>5.8793215158251533E-3</v>
      </c>
      <c r="H94" t="str">
        <v>PPG</v>
      </c>
      <c r="I94">
        <v>14.161785202797009</v>
      </c>
      <c r="J94">
        <v>112.1613388061523</v>
      </c>
      <c r="K94">
        <v>104.3346481323242</v>
      </c>
      <c r="L94">
        <v>-6.978064596175082E-2</v>
      </c>
      <c r="N94" t="str">
        <v>WEC</v>
      </c>
      <c r="O94">
        <v>11.65639057494047</v>
      </c>
      <c r="P94">
        <v>106.306282043457</v>
      </c>
      <c r="Q94">
        <v>102.5276412963867</v>
      </c>
      <c r="R94">
        <v>-3.554484903841925E-2</v>
      </c>
      <c r="T94" t="str">
        <v>STT</v>
      </c>
      <c r="U94">
        <v>9.4684471130371097</v>
      </c>
      <c r="V94">
        <v>94.684471130371094</v>
      </c>
      <c r="W94">
        <v>86.927680969238281</v>
      </c>
      <c r="X94">
        <v>-8.1922516633720063E-2</v>
      </c>
      <c r="AR94" t="str">
        <v>SMCI</v>
      </c>
      <c r="AS94">
        <v>14.203703844988789</v>
      </c>
      <c r="AT94">
        <v>30.680000305175781</v>
      </c>
      <c r="AU94">
        <v>34.240001678466797</v>
      </c>
    </row>
    <row r="95" spans="2:47" x14ac:dyDescent="0.2">
      <c r="B95" t="str">
        <v>PNC</v>
      </c>
      <c r="C95">
        <v>11.32947151814032</v>
      </c>
      <c r="D95">
        <v>197.58598327636719</v>
      </c>
      <c r="E95">
        <v>209.45231628417969</v>
      </c>
      <c r="F95">
        <v>6.005655265138337E-2</v>
      </c>
      <c r="H95" t="str">
        <v>PFG</v>
      </c>
      <c r="I95">
        <v>10.76247916037206</v>
      </c>
      <c r="J95">
        <v>77.92034912109375</v>
      </c>
      <c r="K95">
        <v>82.133216857910156</v>
      </c>
      <c r="L95">
        <v>5.4066335486630208E-2</v>
      </c>
      <c r="N95" t="str">
        <v>WFC</v>
      </c>
      <c r="O95">
        <v>12.519514476153869</v>
      </c>
      <c r="P95">
        <v>70.610061645507812</v>
      </c>
      <c r="Q95">
        <v>79.235481262207031</v>
      </c>
      <c r="R95">
        <v>0.12215567322405765</v>
      </c>
      <c r="T95" t="str">
        <v>SMCI</v>
      </c>
      <c r="U95">
        <v>14.203703844988789</v>
      </c>
      <c r="V95">
        <v>30.680000305175781</v>
      </c>
      <c r="W95">
        <v>34.240001678466797</v>
      </c>
      <c r="X95">
        <v>0.11603654947455903</v>
      </c>
      <c r="AR95" t="str">
        <v>SYF</v>
      </c>
      <c r="AS95">
        <v>8.2789470494719986</v>
      </c>
      <c r="AT95">
        <v>63.913471221923828</v>
      </c>
      <c r="AU95">
        <v>52.204254150390618</v>
      </c>
    </row>
    <row r="96" spans="2:47" x14ac:dyDescent="0.2">
      <c r="B96" t="str">
        <v>PPG</v>
      </c>
      <c r="C96">
        <v>12.97694628511495</v>
      </c>
      <c r="D96">
        <v>104.3346481323242</v>
      </c>
      <c r="E96">
        <v>103.6800003051758</v>
      </c>
      <c r="F96">
        <v>-6.2745007422475877E-3</v>
      </c>
      <c r="H96" t="str">
        <v>PGR</v>
      </c>
      <c r="I96">
        <v>11.56472983835368</v>
      </c>
      <c r="J96">
        <v>250.72334289550781</v>
      </c>
      <c r="K96">
        <v>232.1073303222656</v>
      </c>
      <c r="L96">
        <v>-7.4249219710670014E-2</v>
      </c>
      <c r="N96" t="str">
        <v>WDC</v>
      </c>
      <c r="O96">
        <v>6.8964899402775179</v>
      </c>
      <c r="P96">
        <v>40.275501251220703</v>
      </c>
      <c r="Q96">
        <v>63.864246368408203</v>
      </c>
      <c r="R96">
        <v>0.58568470619524704</v>
      </c>
      <c r="T96" t="str">
        <v>SYF</v>
      </c>
      <c r="U96">
        <v>8.2789470494719986</v>
      </c>
      <c r="V96">
        <v>63.913471221923828</v>
      </c>
      <c r="W96">
        <v>52.204254150390618</v>
      </c>
      <c r="X96">
        <v>-0.1832042110633583</v>
      </c>
      <c r="AR96" t="str">
        <v>TROW</v>
      </c>
      <c r="AS96">
        <v>14.00571536523691</v>
      </c>
      <c r="AT96">
        <v>108.12412261962891</v>
      </c>
      <c r="AU96">
        <v>88.462539672851562</v>
      </c>
    </row>
    <row r="97" spans="2:47" x14ac:dyDescent="0.2">
      <c r="B97" t="str">
        <v>PGR</v>
      </c>
      <c r="C97">
        <v>13.010500578602329</v>
      </c>
      <c r="D97">
        <v>232.1073303222656</v>
      </c>
      <c r="E97">
        <v>216.2356262207031</v>
      </c>
      <c r="F97">
        <v>-6.8380882583612052E-2</v>
      </c>
      <c r="H97" t="str">
        <v>PHM</v>
      </c>
      <c r="I97">
        <v>8.6124226304351303</v>
      </c>
      <c r="J97">
        <v>105.07155609130859</v>
      </c>
      <c r="K97">
        <v>131.85845947265619</v>
      </c>
      <c r="L97">
        <v>0.25493962760073163</v>
      </c>
      <c r="T97" t="str">
        <v>TROW</v>
      </c>
      <c r="U97">
        <v>14.00571536523691</v>
      </c>
      <c r="V97">
        <v>108.12412261962891</v>
      </c>
      <c r="W97">
        <v>88.462539672851562</v>
      </c>
      <c r="X97">
        <v>-0.18184270512830011</v>
      </c>
      <c r="AR97" t="str">
        <v>TPR</v>
      </c>
      <c r="AS97">
        <v>11.48482789384558</v>
      </c>
      <c r="AT97">
        <v>64.774429321289062</v>
      </c>
      <c r="AU97">
        <v>69.591178894042969</v>
      </c>
    </row>
    <row r="98" spans="2:47" x14ac:dyDescent="0.2">
      <c r="B98" t="str">
        <v>PRU</v>
      </c>
      <c r="C98">
        <v>6.3467648736844389</v>
      </c>
      <c r="D98">
        <v>102.3870010375977</v>
      </c>
      <c r="E98">
        <v>113.69000244140619</v>
      </c>
      <c r="F98">
        <v>0.11039488694134034</v>
      </c>
      <c r="H98" t="str">
        <v>REGN</v>
      </c>
      <c r="I98">
        <v>9.8857176627997543</v>
      </c>
      <c r="J98">
        <v>523.547607421875</v>
      </c>
      <c r="K98">
        <v>561.56591796875</v>
      </c>
      <c r="L98">
        <v>7.2616721016241448E-2</v>
      </c>
      <c r="T98" t="str">
        <v>TPR</v>
      </c>
      <c r="U98">
        <v>11.48482789384558</v>
      </c>
      <c r="V98">
        <v>64.774429321289062</v>
      </c>
      <c r="W98">
        <v>69.591178894042969</v>
      </c>
      <c r="X98">
        <v>7.436189902750423E-2</v>
      </c>
      <c r="AR98" t="str">
        <v>TGT</v>
      </c>
      <c r="AS98">
        <v>13.361954491985729</v>
      </c>
      <c r="AT98">
        <v>129.3437194824219</v>
      </c>
      <c r="AU98">
        <v>100.802848815918</v>
      </c>
    </row>
    <row r="99" spans="2:47" x14ac:dyDescent="0.2">
      <c r="B99" t="str">
        <v>PHM</v>
      </c>
      <c r="C99">
        <v>11.061951298041629</v>
      </c>
      <c r="D99">
        <v>131.85845947265619</v>
      </c>
      <c r="E99">
        <v>118.129997253418</v>
      </c>
      <c r="F99">
        <v>-0.1041151419039982</v>
      </c>
      <c r="H99" t="str">
        <v>RF</v>
      </c>
      <c r="I99">
        <v>9.7669100357314296</v>
      </c>
      <c r="J99">
        <v>23.049907684326168</v>
      </c>
      <c r="K99">
        <v>26.09542083740234</v>
      </c>
      <c r="L99">
        <v>0.13212691325211279</v>
      </c>
      <c r="T99" t="str">
        <v>TGT</v>
      </c>
      <c r="U99">
        <v>13.361954491985729</v>
      </c>
      <c r="V99">
        <v>129.3437194824219</v>
      </c>
      <c r="W99">
        <v>100.802848815918</v>
      </c>
      <c r="X99">
        <v>-0.22065911495905816</v>
      </c>
      <c r="AR99" t="str">
        <v>TRV</v>
      </c>
      <c r="AS99">
        <v>6.4769736498299864</v>
      </c>
      <c r="AT99">
        <v>236.02091979980469</v>
      </c>
      <c r="AU99">
        <v>261.28091430664062</v>
      </c>
    </row>
    <row r="100" spans="2:47" x14ac:dyDescent="0.2">
      <c r="B100" t="str">
        <v>RJF</v>
      </c>
      <c r="C100">
        <v>14.151922546991029</v>
      </c>
      <c r="D100">
        <v>171.52130126953119</v>
      </c>
      <c r="E100">
        <v>162.00341796875</v>
      </c>
      <c r="F100">
        <v>-5.5490969520016913E-2</v>
      </c>
      <c r="H100" t="str">
        <v>SLB</v>
      </c>
      <c r="I100">
        <v>11.089612325032549</v>
      </c>
      <c r="J100">
        <v>33.268836975097663</v>
      </c>
      <c r="K100">
        <v>34.100597381591797</v>
      </c>
      <c r="L100">
        <v>2.5001186759751218E-2</v>
      </c>
      <c r="T100" t="str">
        <v>TRV</v>
      </c>
      <c r="U100">
        <v>6.4769736498299864</v>
      </c>
      <c r="V100">
        <v>236.02091979980469</v>
      </c>
      <c r="W100">
        <v>261.28091430664062</v>
      </c>
      <c r="X100">
        <v>0.1070243880426435</v>
      </c>
      <c r="AR100" t="str">
        <v>TFC</v>
      </c>
      <c r="AS100">
        <v>11.230356796928071</v>
      </c>
      <c r="AT100">
        <v>41.327713012695312</v>
      </c>
      <c r="AU100">
        <v>39.656105041503913</v>
      </c>
    </row>
    <row r="101" spans="2:47" x14ac:dyDescent="0.2">
      <c r="B101" t="str">
        <v>REGN</v>
      </c>
      <c r="C101">
        <v>9.9639091193887506</v>
      </c>
      <c r="D101">
        <v>561.56591796875</v>
      </c>
      <c r="E101">
        <v>773.94000244140625</v>
      </c>
      <c r="F101">
        <v>0.37818193319288018</v>
      </c>
      <c r="H101" t="str">
        <v>STT</v>
      </c>
      <c r="I101">
        <v>11.833300157026811</v>
      </c>
      <c r="J101">
        <v>104.13304138183589</v>
      </c>
      <c r="K101">
        <v>114.4201126098633</v>
      </c>
      <c r="L101">
        <v>9.8787772752230316E-2</v>
      </c>
      <c r="T101" t="str">
        <v>TFC</v>
      </c>
      <c r="U101">
        <v>11.230356796928071</v>
      </c>
      <c r="V101">
        <v>41.327713012695312</v>
      </c>
      <c r="W101">
        <v>39.656105041503913</v>
      </c>
      <c r="X101">
        <v>-4.0447628221719018E-2</v>
      </c>
      <c r="AR101" t="str">
        <v>TSN</v>
      </c>
      <c r="AS101">
        <v>13.392518793494959</v>
      </c>
      <c r="AT101">
        <v>55.177177429199219</v>
      </c>
      <c r="AU101">
        <v>62.12738037109375</v>
      </c>
    </row>
    <row r="102" spans="2:47" x14ac:dyDescent="0.2">
      <c r="B102" t="str">
        <v>RF</v>
      </c>
      <c r="C102">
        <v>10.52234711185578</v>
      </c>
      <c r="D102">
        <v>26.09542083740234</v>
      </c>
      <c r="E102">
        <v>27.319999694824219</v>
      </c>
      <c r="F102">
        <v>4.6926963356984853E-2</v>
      </c>
      <c r="H102" t="str">
        <v>SYF</v>
      </c>
      <c r="I102">
        <v>6.5915248308523724</v>
      </c>
      <c r="J102">
        <v>66.178909301757812</v>
      </c>
      <c r="K102">
        <v>70.75921630859375</v>
      </c>
      <c r="L102">
        <v>6.9210977563123388E-2</v>
      </c>
      <c r="T102" t="str">
        <v>TSN</v>
      </c>
      <c r="U102">
        <v>13.392518793494959</v>
      </c>
      <c r="V102">
        <v>55.177177429199219</v>
      </c>
      <c r="W102">
        <v>62.12738037109375</v>
      </c>
      <c r="X102">
        <v>0.12596155268748038</v>
      </c>
      <c r="AR102" t="str">
        <v>USB</v>
      </c>
      <c r="AS102">
        <v>11.31980253918336</v>
      </c>
      <c r="AT102">
        <v>45.732002258300781</v>
      </c>
      <c r="AU102">
        <v>40.919857025146477</v>
      </c>
    </row>
    <row r="103" spans="2:47" x14ac:dyDescent="0.2">
      <c r="B103" t="str">
        <v>RCL</v>
      </c>
      <c r="C103">
        <v>13.92399947672104</v>
      </c>
      <c r="D103">
        <v>322.47982788085938</v>
      </c>
      <c r="E103">
        <v>281.70001220703119</v>
      </c>
      <c r="F103">
        <v>-0.12645695063101542</v>
      </c>
      <c r="H103" t="str">
        <v>TROW</v>
      </c>
      <c r="I103">
        <v>10.511776379176551</v>
      </c>
      <c r="J103">
        <v>94.185516357421875</v>
      </c>
      <c r="K103">
        <v>101.39736175537109</v>
      </c>
      <c r="L103">
        <v>7.6570641398632844E-2</v>
      </c>
      <c r="T103" t="str">
        <v>USB</v>
      </c>
      <c r="U103">
        <v>11.31980253918336</v>
      </c>
      <c r="V103">
        <v>45.732002258300781</v>
      </c>
      <c r="W103">
        <v>40.919857025146477</v>
      </c>
      <c r="X103">
        <v>-0.10522489712946813</v>
      </c>
      <c r="AR103" t="str">
        <v>UBER</v>
      </c>
      <c r="AS103">
        <v>4.6460244998290268</v>
      </c>
      <c r="AT103">
        <v>60.770000457763672</v>
      </c>
      <c r="AU103">
        <v>72.860000610351562</v>
      </c>
    </row>
    <row r="104" spans="2:47" x14ac:dyDescent="0.2">
      <c r="B104" t="str">
        <v>SJM</v>
      </c>
      <c r="C104">
        <v>11.89346819852306</v>
      </c>
      <c r="D104">
        <v>107.51695251464839</v>
      </c>
      <c r="E104">
        <v>98.419998168945312</v>
      </c>
      <c r="F104">
        <v>-8.4609488391737001E-2</v>
      </c>
      <c r="H104" t="str">
        <v>TRGP</v>
      </c>
      <c r="I104">
        <v>14.72167119857575</v>
      </c>
      <c r="J104">
        <v>171.89788818359381</v>
      </c>
      <c r="K104">
        <v>166.43426513671881</v>
      </c>
      <c r="L104">
        <v>-3.1784119657360957E-2</v>
      </c>
      <c r="T104" t="str">
        <v>UBER</v>
      </c>
      <c r="U104">
        <v>4.6460244998290268</v>
      </c>
      <c r="V104">
        <v>60.770000457763672</v>
      </c>
      <c r="W104">
        <v>72.860000610351562</v>
      </c>
      <c r="X104">
        <v>0.19894684978636251</v>
      </c>
      <c r="AR104" t="str">
        <v>ULTA</v>
      </c>
      <c r="AS104">
        <v>12.80588217342601</v>
      </c>
      <c r="AT104">
        <v>435.39999389648438</v>
      </c>
      <c r="AU104">
        <v>366.54000854492188</v>
      </c>
    </row>
    <row r="105" spans="2:47" x14ac:dyDescent="0.2">
      <c r="B105" t="str">
        <v>SOLV</v>
      </c>
      <c r="C105">
        <v>2.5137741046831961</v>
      </c>
      <c r="D105">
        <v>73</v>
      </c>
      <c r="E105">
        <v>80.160003662109375</v>
      </c>
      <c r="F105">
        <v>9.8082241946703771E-2</v>
      </c>
      <c r="H105" t="str">
        <v>TGT</v>
      </c>
      <c r="I105">
        <v>11.696215509210971</v>
      </c>
      <c r="J105">
        <v>96.376815795898438</v>
      </c>
      <c r="K105">
        <v>88.583396911621094</v>
      </c>
      <c r="L105">
        <v>-8.0864042040793518E-2</v>
      </c>
      <c r="T105" t="str">
        <v>ULTA</v>
      </c>
      <c r="U105">
        <v>12.80588217342601</v>
      </c>
      <c r="V105">
        <v>435.39999389648438</v>
      </c>
      <c r="W105">
        <v>366.54000854492188</v>
      </c>
      <c r="X105">
        <v>-0.15815339071395082</v>
      </c>
      <c r="AR105" t="str">
        <v>UAL</v>
      </c>
      <c r="AS105">
        <v>8.1733586857372824</v>
      </c>
      <c r="AT105">
        <v>98.209999084472656</v>
      </c>
      <c r="AU105">
        <v>69.050003051757812</v>
      </c>
    </row>
    <row r="106" spans="2:47" x14ac:dyDescent="0.2">
      <c r="B106" t="str">
        <v>STT</v>
      </c>
      <c r="C106">
        <v>10.10778379945789</v>
      </c>
      <c r="D106">
        <v>114.4201126098633</v>
      </c>
      <c r="E106">
        <v>129.4913330078125</v>
      </c>
      <c r="F106">
        <v>0.13171827971658567</v>
      </c>
      <c r="H106" t="str">
        <v>TXT</v>
      </c>
      <c r="I106">
        <v>14.75220427793615</v>
      </c>
      <c r="J106">
        <v>80.251991271972656</v>
      </c>
      <c r="K106">
        <v>84.470542907714844</v>
      </c>
      <c r="L106">
        <v>5.2566317282341152E-2</v>
      </c>
      <c r="T106" t="str">
        <v>UAL</v>
      </c>
      <c r="U106">
        <v>8.1733586857372824</v>
      </c>
      <c r="V106">
        <v>98.209999084472656</v>
      </c>
      <c r="W106">
        <v>69.050003051757812</v>
      </c>
      <c r="X106">
        <v>-0.29691473683482744</v>
      </c>
      <c r="AR106" t="str">
        <v>UPS</v>
      </c>
      <c r="AS106">
        <v>14.512415215520569</v>
      </c>
      <c r="AT106">
        <v>117.26031494140619</v>
      </c>
      <c r="AU106">
        <v>104.3892822265625</v>
      </c>
    </row>
    <row r="107" spans="2:47" x14ac:dyDescent="0.2">
      <c r="B107" t="str">
        <v>STLD</v>
      </c>
      <c r="C107">
        <v>12.63839721679688</v>
      </c>
      <c r="D107">
        <v>139.0223693847656</v>
      </c>
      <c r="E107">
        <v>170.5299987792969</v>
      </c>
      <c r="F107">
        <v>0.22663711986758864</v>
      </c>
      <c r="H107" t="str">
        <v>TRV</v>
      </c>
      <c r="I107">
        <v>10.008076341263671</v>
      </c>
      <c r="J107">
        <v>265.4141845703125</v>
      </c>
      <c r="K107">
        <v>278.1197509765625</v>
      </c>
      <c r="L107">
        <v>4.7870713567247536E-2</v>
      </c>
      <c r="T107" t="str">
        <v>UPS</v>
      </c>
      <c r="U107">
        <v>14.512415215520569</v>
      </c>
      <c r="V107">
        <v>117.26031494140619</v>
      </c>
      <c r="W107">
        <v>104.3892822265625</v>
      </c>
      <c r="X107">
        <v>-0.10976460980234634</v>
      </c>
      <c r="AR107" t="str">
        <v>UHS</v>
      </c>
      <c r="AS107">
        <v>8.7592333731566647</v>
      </c>
      <c r="AT107">
        <v>177.63725280761719</v>
      </c>
      <c r="AU107">
        <v>187.34190368652341</v>
      </c>
    </row>
    <row r="108" spans="2:47" x14ac:dyDescent="0.2">
      <c r="B108" t="str">
        <v>SYF</v>
      </c>
      <c r="C108">
        <v>6.1210394730617432</v>
      </c>
      <c r="D108">
        <v>70.75921630859375</v>
      </c>
      <c r="E108">
        <v>84.30999755859375</v>
      </c>
      <c r="F108">
        <v>0.19150553040189974</v>
      </c>
      <c r="H108" t="str">
        <v>TFC</v>
      </c>
      <c r="I108">
        <v>11.533278161352809</v>
      </c>
      <c r="J108">
        <v>41.981132507324219</v>
      </c>
      <c r="K108">
        <v>45.195526123046882</v>
      </c>
      <c r="L108">
        <v>7.6567577474520629E-2</v>
      </c>
      <c r="T108" t="str">
        <v>UHS</v>
      </c>
      <c r="U108">
        <v>8.7592333731566647</v>
      </c>
      <c r="V108">
        <v>177.63725280761719</v>
      </c>
      <c r="W108">
        <v>187.34190368652341</v>
      </c>
      <c r="X108">
        <v>5.4631845097359445E-2</v>
      </c>
      <c r="AR108" t="str">
        <v>VZ</v>
      </c>
      <c r="AS108">
        <v>7.6507071487042086</v>
      </c>
      <c r="AT108">
        <v>36.417366027832031</v>
      </c>
      <c r="AU108">
        <v>42.45361328125</v>
      </c>
    </row>
    <row r="109" spans="2:47" x14ac:dyDescent="0.2">
      <c r="B109" t="str">
        <v>TROW</v>
      </c>
      <c r="C109">
        <v>8.8018543190426293</v>
      </c>
      <c r="D109">
        <v>101.39736175537109</v>
      </c>
      <c r="E109">
        <v>103.63999938964839</v>
      </c>
      <c r="F109">
        <v>2.211731740799959E-2</v>
      </c>
      <c r="H109" t="str">
        <v>USB</v>
      </c>
      <c r="I109">
        <v>9.9867210731850005</v>
      </c>
      <c r="J109">
        <v>44.341041564941413</v>
      </c>
      <c r="K109">
        <v>47.867259979248047</v>
      </c>
      <c r="L109">
        <v>7.9524934233720507E-2</v>
      </c>
      <c r="T109" t="str">
        <v>VZ</v>
      </c>
      <c r="U109">
        <v>7.6507071487042086</v>
      </c>
      <c r="V109">
        <v>36.417366027832031</v>
      </c>
      <c r="W109">
        <v>42.45361328125</v>
      </c>
      <c r="X109">
        <v>0.16575189015056049</v>
      </c>
      <c r="AR109" t="str">
        <v>VICI</v>
      </c>
      <c r="AS109">
        <v>11.81299193152066</v>
      </c>
      <c r="AT109">
        <v>27.40614128112793</v>
      </c>
      <c r="AU109">
        <v>31.234237670898441</v>
      </c>
    </row>
    <row r="110" spans="2:47" x14ac:dyDescent="0.2">
      <c r="B110" t="str">
        <v>TGT</v>
      </c>
      <c r="C110">
        <v>14.569637649937681</v>
      </c>
      <c r="D110">
        <v>88.583396911621094</v>
      </c>
      <c r="E110">
        <v>97.430000305175781</v>
      </c>
      <c r="F110">
        <v>9.98675113168314E-2</v>
      </c>
      <c r="H110" t="str">
        <v>UAL</v>
      </c>
      <c r="I110">
        <v>6.6249571331578956</v>
      </c>
      <c r="J110">
        <v>79.629997253417969</v>
      </c>
      <c r="K110">
        <v>96.5</v>
      </c>
      <c r="L110">
        <v>0.21185487038124842</v>
      </c>
      <c r="T110" t="str">
        <v>VICI</v>
      </c>
      <c r="U110">
        <v>11.81299193152066</v>
      </c>
      <c r="V110">
        <v>27.40614128112793</v>
      </c>
      <c r="W110">
        <v>31.234237670898441</v>
      </c>
      <c r="X110">
        <v>0.1396802399324478</v>
      </c>
      <c r="AR110" t="str">
        <v>WRB</v>
      </c>
      <c r="AS110">
        <v>9.8270186062516842</v>
      </c>
      <c r="AT110">
        <v>56.996707916259773</v>
      </c>
      <c r="AU110">
        <v>69.39569091796875</v>
      </c>
    </row>
    <row r="111" spans="2:47" x14ac:dyDescent="0.2">
      <c r="B111" t="str">
        <v>TRV</v>
      </c>
      <c r="C111">
        <v>8.3070415464923091</v>
      </c>
      <c r="D111">
        <v>278.1197509765625</v>
      </c>
      <c r="E111">
        <v>292.3800048828125</v>
      </c>
      <c r="F111">
        <v>5.1273790718487047E-2</v>
      </c>
      <c r="H111" t="str">
        <v>UHS</v>
      </c>
      <c r="I111">
        <v>8.2332388733688386</v>
      </c>
      <c r="J111">
        <v>180.80192565917969</v>
      </c>
      <c r="K111">
        <v>204.27217102050781</v>
      </c>
      <c r="L111">
        <v>0.12981192139275477</v>
      </c>
      <c r="T111" t="str">
        <v>WRB</v>
      </c>
      <c r="U111">
        <v>9.8270186062516842</v>
      </c>
      <c r="V111">
        <v>56.996707916259773</v>
      </c>
      <c r="W111">
        <v>69.39569091796875</v>
      </c>
      <c r="X111">
        <v>0.21753858170064327</v>
      </c>
      <c r="AR111" t="str">
        <v>WFC</v>
      </c>
      <c r="AS111">
        <v>11.88146920039736</v>
      </c>
      <c r="AT111">
        <v>68.912521362304688</v>
      </c>
      <c r="AU111">
        <v>70.610061645507812</v>
      </c>
    </row>
    <row r="112" spans="2:47" x14ac:dyDescent="0.2">
      <c r="B112" t="str">
        <v>TFC</v>
      </c>
      <c r="C112">
        <v>10.760839553106401</v>
      </c>
      <c r="D112">
        <v>45.195526123046882</v>
      </c>
      <c r="E112">
        <v>49.560001373291023</v>
      </c>
      <c r="F112">
        <v>9.6568745286019192E-2</v>
      </c>
      <c r="H112" t="str">
        <v>VLO</v>
      </c>
      <c r="I112">
        <v>14.527921509324459</v>
      </c>
      <c r="J112">
        <v>132.49464416503909</v>
      </c>
      <c r="K112">
        <v>169.19309997558591</v>
      </c>
      <c r="L112">
        <v>0.27698067376092711</v>
      </c>
      <c r="T112" t="str">
        <v>WFC</v>
      </c>
      <c r="U112">
        <v>11.88146920039736</v>
      </c>
      <c r="V112">
        <v>68.912521362304688</v>
      </c>
      <c r="W112">
        <v>70.610061645507812</v>
      </c>
      <c r="X112">
        <v>2.4633263297367661E-2</v>
      </c>
      <c r="AR112" t="str">
        <v>WDC</v>
      </c>
      <c r="AS112">
        <v>6.6803631328401112</v>
      </c>
      <c r="AT112">
        <v>44.892040252685547</v>
      </c>
      <c r="AU112">
        <v>40.275501251220703</v>
      </c>
    </row>
    <row r="113" spans="2:47" x14ac:dyDescent="0.2">
      <c r="B113" t="str">
        <v>USB</v>
      </c>
      <c r="C113">
        <v>9.8088647498459114</v>
      </c>
      <c r="D113">
        <v>47.867259979248047</v>
      </c>
      <c r="E113">
        <v>53.790000915527337</v>
      </c>
      <c r="F113">
        <v>0.12373260844357883</v>
      </c>
      <c r="H113" t="str">
        <v>VZ</v>
      </c>
      <c r="I113">
        <v>8.7177947416143908</v>
      </c>
      <c r="J113">
        <v>41.147991180419922</v>
      </c>
      <c r="K113">
        <v>42.470420837402337</v>
      </c>
      <c r="L113">
        <v>3.213837708830089E-2</v>
      </c>
      <c r="T113" t="str">
        <v>WDC</v>
      </c>
      <c r="U113">
        <v>6.6803631328401112</v>
      </c>
      <c r="V113">
        <v>44.892040252685547</v>
      </c>
      <c r="W113">
        <v>40.275501251220703</v>
      </c>
      <c r="X113">
        <v>-0.10283647113117501</v>
      </c>
      <c r="AR113" t="str">
        <v>WTW</v>
      </c>
      <c r="AS113">
        <v>6.267802746264965</v>
      </c>
      <c r="AT113">
        <v>308.8773193359375</v>
      </c>
      <c r="AU113">
        <v>335.09640502929688</v>
      </c>
    </row>
    <row r="114" spans="2:47" x14ac:dyDescent="0.2">
      <c r="B114" t="str">
        <v>UBER</v>
      </c>
      <c r="C114">
        <v>7.7020441211244588</v>
      </c>
      <c r="D114">
        <v>97.970001220703125</v>
      </c>
      <c r="E114">
        <v>82.120002746582031</v>
      </c>
      <c r="F114">
        <v>-0.16178420206829247</v>
      </c>
      <c r="H114" t="str">
        <v>VICI</v>
      </c>
      <c r="I114">
        <v>9.646024355074255</v>
      </c>
      <c r="J114">
        <v>31.638959884643551</v>
      </c>
      <c r="K114">
        <v>32.091651916503913</v>
      </c>
      <c r="L114">
        <v>1.4308056696898028E-2</v>
      </c>
      <c r="T114" t="str">
        <v>WTW</v>
      </c>
      <c r="U114">
        <v>6.267802746264965</v>
      </c>
      <c r="V114">
        <v>308.8773193359375</v>
      </c>
      <c r="W114">
        <v>335.09640502929688</v>
      </c>
      <c r="X114">
        <v>8.4885111505527161E-2</v>
      </c>
      <c r="AR114" t="str">
        <v>WYNN</v>
      </c>
      <c r="AS114">
        <v>8.3011023700237274</v>
      </c>
      <c r="AT114">
        <v>85.003288269042969</v>
      </c>
      <c r="AU114">
        <v>82.924140930175781</v>
      </c>
    </row>
    <row r="115" spans="2:47" x14ac:dyDescent="0.2">
      <c r="B115" t="str">
        <v>UAL</v>
      </c>
      <c r="C115">
        <v>8.2300441471508012</v>
      </c>
      <c r="D115">
        <v>96.5</v>
      </c>
      <c r="E115">
        <v>111.51999664306641</v>
      </c>
      <c r="F115">
        <v>0.15564763360690576</v>
      </c>
      <c r="H115" t="str">
        <v>DIS</v>
      </c>
      <c r="I115">
        <v>10.54594222813436</v>
      </c>
      <c r="J115">
        <v>123.1766052246094</v>
      </c>
      <c r="K115">
        <v>113.7305145263672</v>
      </c>
      <c r="L115">
        <v>-7.6687376478816696E-2</v>
      </c>
      <c r="T115" t="str">
        <v>WYNN</v>
      </c>
      <c r="U115">
        <v>8.3011023700237274</v>
      </c>
      <c r="V115">
        <v>85.003288269042969</v>
      </c>
      <c r="W115">
        <v>82.924140930175781</v>
      </c>
      <c r="X115">
        <v>-2.4459610695135713E-2</v>
      </c>
    </row>
    <row r="116" spans="2:47" x14ac:dyDescent="0.2">
      <c r="B116" t="str">
        <v>UPS</v>
      </c>
      <c r="C116">
        <v>13.24237577376827</v>
      </c>
      <c r="D116">
        <v>82.102729797363281</v>
      </c>
      <c r="E116">
        <v>99.639999389648438</v>
      </c>
      <c r="F116">
        <v>0.21360154084484975</v>
      </c>
      <c r="H116" t="str">
        <v>WBD</v>
      </c>
      <c r="I116">
        <v>4.4765625149011612</v>
      </c>
      <c r="J116">
        <v>11.460000038146971</v>
      </c>
      <c r="K116">
        <v>19.530000686645511</v>
      </c>
      <c r="L116">
        <v>0.70418853591936137</v>
      </c>
    </row>
    <row r="117" spans="2:47" x14ac:dyDescent="0.2">
      <c r="B117" t="str">
        <v>UHS</v>
      </c>
      <c r="C117">
        <v>8.6263585735011752</v>
      </c>
      <c r="D117">
        <v>204.27217102050781</v>
      </c>
      <c r="E117">
        <v>225.05999755859381</v>
      </c>
      <c r="F117">
        <v>0.10176533804988547</v>
      </c>
      <c r="H117" t="str">
        <v>WFC</v>
      </c>
      <c r="I117">
        <v>12.303646158727799</v>
      </c>
      <c r="J117">
        <v>79.235481262207031</v>
      </c>
      <c r="K117">
        <v>83.381607055664062</v>
      </c>
      <c r="L117">
        <v>5.232663104217946E-2</v>
      </c>
    </row>
    <row r="118" spans="2:47" x14ac:dyDescent="0.2">
      <c r="B118" t="str">
        <v>VLO</v>
      </c>
      <c r="C118">
        <v>11.94866525251313</v>
      </c>
      <c r="D118">
        <v>169.19309997558591</v>
      </c>
      <c r="E118">
        <v>164.86000061035159</v>
      </c>
      <c r="F118">
        <v>-2.561037870846726E-2</v>
      </c>
      <c r="H118" t="str">
        <v>WDC</v>
      </c>
      <c r="I118">
        <v>11.65405955627887</v>
      </c>
      <c r="J118">
        <v>63.864246368408203</v>
      </c>
      <c r="K118">
        <v>119.9635391235352</v>
      </c>
      <c r="L118">
        <v>0.87841469907139924</v>
      </c>
    </row>
    <row r="119" spans="2:47" x14ac:dyDescent="0.2">
      <c r="B119" t="str">
        <v>VZ</v>
      </c>
      <c r="C119">
        <v>9.0748762473081932</v>
      </c>
      <c r="D119">
        <v>42.470420837402337</v>
      </c>
      <c r="E119">
        <v>40.005905151367188</v>
      </c>
      <c r="F119">
        <v>-5.8028991411941205E-2</v>
      </c>
    </row>
    <row r="120" spans="2:47" x14ac:dyDescent="0.2">
      <c r="B120" t="str">
        <v>VICI</v>
      </c>
      <c r="C120">
        <v>11.2998774353887</v>
      </c>
      <c r="D120">
        <v>32.091651916503913</v>
      </c>
      <c r="E120">
        <v>28.340000152587891</v>
      </c>
      <c r="F120">
        <v>-0.11690428942944643</v>
      </c>
    </row>
    <row r="121" spans="2:47" x14ac:dyDescent="0.2">
      <c r="B121" t="str">
        <v>WRB</v>
      </c>
      <c r="C121">
        <v>14.615385661753569</v>
      </c>
      <c r="D121">
        <v>75.415390014648438</v>
      </c>
      <c r="E121">
        <v>70.800003051757812</v>
      </c>
      <c r="F121">
        <v>-6.1199537150098245E-2</v>
      </c>
    </row>
    <row r="122" spans="2:47" x14ac:dyDescent="0.2">
      <c r="B122" t="str">
        <v>WFC</v>
      </c>
      <c r="C122">
        <v>12.407977240426201</v>
      </c>
      <c r="D122">
        <v>83.381607055664062</v>
      </c>
      <c r="E122">
        <v>94.30999755859375</v>
      </c>
      <c r="F122">
        <v>0.13106476222788666</v>
      </c>
    </row>
    <row r="123" spans="2:47" x14ac:dyDescent="0.2">
      <c r="B123" t="str">
        <v>WDC</v>
      </c>
      <c r="C123">
        <v>8.97930682062389</v>
      </c>
      <c r="D123">
        <v>119.9635391235352</v>
      </c>
      <c r="E123">
        <v>176.05999755859381</v>
      </c>
      <c r="F123">
        <v>0.46761256665904127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PE Ratio below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Serena Lee</cp:lastModifiedBy>
  <dcterms:created xsi:type="dcterms:W3CDTF">2026-01-27T16:15:32Z</dcterms:created>
  <dcterms:modified xsi:type="dcterms:W3CDTF">2026-02-07T19:05:10Z</dcterms:modified>
</cp:coreProperties>
</file>